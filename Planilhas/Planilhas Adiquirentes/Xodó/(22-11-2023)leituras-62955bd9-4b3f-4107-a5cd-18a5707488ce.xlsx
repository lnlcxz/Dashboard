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sto\Desktop\CONCILIAÇÃO\XODO\"/>
    </mc:Choice>
  </mc:AlternateContent>
  <xr:revisionPtr revIDLastSave="0" documentId="8_{69DDB101-153B-4551-A204-1C2E7C0BCC6C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leituras" sheetId="1" r:id="rId1"/>
  </sheets>
  <definedNames>
    <definedName name="_xlnm._FilterDatabase" localSheetId="0" hidden="1">leituras!$A$1:$W$67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" i="1" l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2" i="1"/>
</calcChain>
</file>

<file path=xl/sharedStrings.xml><?xml version="1.0" encoding="utf-8"?>
<sst xmlns="http://schemas.openxmlformats.org/spreadsheetml/2006/main" count="781" uniqueCount="419">
  <si>
    <t>Cliente</t>
  </si>
  <si>
    <t>QRCode</t>
  </si>
  <si>
    <t>Identificador</t>
  </si>
  <si>
    <t>Nome</t>
  </si>
  <si>
    <t>Valor</t>
  </si>
  <si>
    <t>DH Leitura</t>
  </si>
  <si>
    <t>Posto</t>
  </si>
  <si>
    <t>Aut</t>
  </si>
  <si>
    <t>Bico Info</t>
  </si>
  <si>
    <t>Seq Abast</t>
  </si>
  <si>
    <t>Num Encer</t>
  </si>
  <si>
    <t>Bico</t>
  </si>
  <si>
    <t>QTD (L)</t>
  </si>
  <si>
    <t>Val Unit (R$)</t>
  </si>
  <si>
    <t>Val Total (R$)</t>
  </si>
  <si>
    <t>Frentista</t>
  </si>
  <si>
    <t>DH Abast</t>
  </si>
  <si>
    <t>ANP (R$)</t>
  </si>
  <si>
    <t>VIP (R$)</t>
  </si>
  <si>
    <t>PRIME (R$)</t>
  </si>
  <si>
    <t>ANP - VIP (R$)</t>
  </si>
  <si>
    <t>VIP - PRIME (R$)</t>
  </si>
  <si>
    <t>Desc (R$)</t>
  </si>
  <si>
    <t>ZARP LOCALIZA</t>
  </si>
  <si>
    <t>ZPR0V7</t>
  </si>
  <si>
    <t>SHJ1C92</t>
  </si>
  <si>
    <t>16721976 S</t>
  </si>
  <si>
    <t>20/11/2023 10:30</t>
  </si>
  <si>
    <t>SP ROCCO Cidade Vargas</t>
  </si>
  <si>
    <t>416143804</t>
  </si>
  <si>
    <t>2</t>
  </si>
  <si>
    <t>0022368537</t>
  </si>
  <si>
    <t>2 - ETANOL COMUM</t>
  </si>
  <si>
    <t>B3280909C8EA56E7</t>
  </si>
  <si>
    <t>20/11/2023 10:31</t>
  </si>
  <si>
    <t>80LKG2</t>
  </si>
  <si>
    <t>RVJ8F62</t>
  </si>
  <si>
    <t>20090153 S</t>
  </si>
  <si>
    <t>20/11/2023 01:03</t>
  </si>
  <si>
    <t>787005133</t>
  </si>
  <si>
    <t>6</t>
  </si>
  <si>
    <t>0071316603</t>
  </si>
  <si>
    <t>6 - ETANOL COMUM</t>
  </si>
  <si>
    <t>B3280909C80D8B89</t>
  </si>
  <si>
    <t>20/11/2023 01:05</t>
  </si>
  <si>
    <t>RYSZ6S</t>
  </si>
  <si>
    <t>RVL6C50</t>
  </si>
  <si>
    <t>09147805 S</t>
  </si>
  <si>
    <t>19/11/2023 18:12</t>
  </si>
  <si>
    <t>547934475</t>
  </si>
  <si>
    <t>0071304013</t>
  </si>
  <si>
    <t>B3280909C8EA194C</t>
  </si>
  <si>
    <t>19/11/2023 18:14</t>
  </si>
  <si>
    <t>MLE9JX</t>
  </si>
  <si>
    <t>19/11/2023 16:12</t>
  </si>
  <si>
    <t>290271056</t>
  </si>
  <si>
    <t>16</t>
  </si>
  <si>
    <t>0040162370</t>
  </si>
  <si>
    <t>16 - ETANOL COMUM</t>
  </si>
  <si>
    <t>B3280909C80DC840</t>
  </si>
  <si>
    <t>19/11/2023 16:13</t>
  </si>
  <si>
    <t>Y3N1L0</t>
  </si>
  <si>
    <t>SHJ3C92</t>
  </si>
  <si>
    <t>04438993 S</t>
  </si>
  <si>
    <t>19/11/2023 06:54</t>
  </si>
  <si>
    <t>963476846</t>
  </si>
  <si>
    <t>0022255627</t>
  </si>
  <si>
    <t>B3280909C80DE865</t>
  </si>
  <si>
    <t>19/11/2023 06:58</t>
  </si>
  <si>
    <t>JT8J2P</t>
  </si>
  <si>
    <t>RVQ3H20</t>
  </si>
  <si>
    <t>12183290 S</t>
  </si>
  <si>
    <t>19/11/2023 03:27</t>
  </si>
  <si>
    <t>673606203</t>
  </si>
  <si>
    <t>13</t>
  </si>
  <si>
    <t>0056520136</t>
  </si>
  <si>
    <t>13 - ETANOL COMUM</t>
  </si>
  <si>
    <t>19/11/2023 03:29</t>
  </si>
  <si>
    <t>YBZ57A</t>
  </si>
  <si>
    <t>18/11/2023 22:13</t>
  </si>
  <si>
    <t>758753294</t>
  </si>
  <si>
    <t>0022240020</t>
  </si>
  <si>
    <t>18/11/2023 22:15</t>
  </si>
  <si>
    <t>RZWJ9U</t>
  </si>
  <si>
    <t>18/11/2023 17:59</t>
  </si>
  <si>
    <t>449658178</t>
  </si>
  <si>
    <t>0040112617</t>
  </si>
  <si>
    <t>B3280909C8EA9120</t>
  </si>
  <si>
    <t>18/11/2023 18:00</t>
  </si>
  <si>
    <t>18/11/2023 16:15</t>
  </si>
  <si>
    <t>827939327</t>
  </si>
  <si>
    <t>0071270204</t>
  </si>
  <si>
    <t>B3280909C8EA932A</t>
  </si>
  <si>
    <t>18/11/2023 16:16</t>
  </si>
  <si>
    <t>18/11/2023 09:22</t>
  </si>
  <si>
    <t>988920173</t>
  </si>
  <si>
    <t>0022139688</t>
  </si>
  <si>
    <t>B3280909C80DC56C</t>
  </si>
  <si>
    <t>18/11/2023 09:26</t>
  </si>
  <si>
    <t>18/11/2023 08:55</t>
  </si>
  <si>
    <t>828009711</t>
  </si>
  <si>
    <t>1</t>
  </si>
  <si>
    <t>0012089253</t>
  </si>
  <si>
    <t>1 - GASOLINA COMUM</t>
  </si>
  <si>
    <t>18/11/2023 08:57</t>
  </si>
  <si>
    <t>Q41WVK</t>
  </si>
  <si>
    <t>RVE3B91</t>
  </si>
  <si>
    <t>19683210 S</t>
  </si>
  <si>
    <t>18/11/2023 08:52</t>
  </si>
  <si>
    <t>237562542</t>
  </si>
  <si>
    <t>0056473463</t>
  </si>
  <si>
    <t>18/11/2023 08:54</t>
  </si>
  <si>
    <t>7K77MA</t>
  </si>
  <si>
    <t>RVS9B92</t>
  </si>
  <si>
    <t>20193776 S</t>
  </si>
  <si>
    <t>18/11/2023 01:35</t>
  </si>
  <si>
    <t>311072730</t>
  </si>
  <si>
    <t>0071245293</t>
  </si>
  <si>
    <t>18/11/2023 01:37</t>
  </si>
  <si>
    <t>3MEFMK</t>
  </si>
  <si>
    <t>17/11/2023 20:32</t>
  </si>
  <si>
    <t>679412941</t>
  </si>
  <si>
    <t>0056458743</t>
  </si>
  <si>
    <t>17/11/2023 20:34</t>
  </si>
  <si>
    <t>N6TE6T</t>
  </si>
  <si>
    <t>RVF2F37</t>
  </si>
  <si>
    <t>16660822 S</t>
  </si>
  <si>
    <t>17/11/2023 15:51</t>
  </si>
  <si>
    <t>978334014</t>
  </si>
  <si>
    <t>0056426764</t>
  </si>
  <si>
    <t>17/11/2023 15:53</t>
  </si>
  <si>
    <t>R8E86T</t>
  </si>
  <si>
    <t>RUT3G40</t>
  </si>
  <si>
    <t>13589072 S</t>
  </si>
  <si>
    <t>17/11/2023 08:59</t>
  </si>
  <si>
    <t>215758979</t>
  </si>
  <si>
    <t>WLYFQK</t>
  </si>
  <si>
    <t>17/11/2023 03:15</t>
  </si>
  <si>
    <t>129753311</t>
  </si>
  <si>
    <t>0021909961</t>
  </si>
  <si>
    <t>17/11/2023 03:16</t>
  </si>
  <si>
    <t>5QL6NN</t>
  </si>
  <si>
    <t>FCI9G41</t>
  </si>
  <si>
    <t>15622686 S</t>
  </si>
  <si>
    <t>16/11/2023 14:33</t>
  </si>
  <si>
    <t>723888112</t>
  </si>
  <si>
    <t>0021846633</t>
  </si>
  <si>
    <t>16/11/2023 14:35</t>
  </si>
  <si>
    <t>HZWPP0</t>
  </si>
  <si>
    <t>16/11/2023 10:52</t>
  </si>
  <si>
    <t>804511965</t>
  </si>
  <si>
    <t>0021816030</t>
  </si>
  <si>
    <t>B3280909C8EAFA15</t>
  </si>
  <si>
    <t>16/11/2023 10:53</t>
  </si>
  <si>
    <t>38UN8B</t>
  </si>
  <si>
    <t>16/11/2023 10:22</t>
  </si>
  <si>
    <t>615783781</t>
  </si>
  <si>
    <t>0071129781</t>
  </si>
  <si>
    <t>16/11/2023 10:24</t>
  </si>
  <si>
    <t>EE9QQD</t>
  </si>
  <si>
    <t>RUK1D82</t>
  </si>
  <si>
    <t>11280964 S</t>
  </si>
  <si>
    <t>16/11/2023 07:34</t>
  </si>
  <si>
    <t>388949545</t>
  </si>
  <si>
    <t>3918807.364</t>
  </si>
  <si>
    <t>25 - GASOLINA COMUM</t>
  </si>
  <si>
    <t>TAIS SANTANA SANTOS</t>
  </si>
  <si>
    <t>15/11/2023 07:08</t>
  </si>
  <si>
    <t>8WIB0M</t>
  </si>
  <si>
    <t>RVR6A09</t>
  </si>
  <si>
    <t>20020883 S</t>
  </si>
  <si>
    <t>15/11/2023 23:49</t>
  </si>
  <si>
    <t>790140036</t>
  </si>
  <si>
    <t>3</t>
  </si>
  <si>
    <t>0080083477</t>
  </si>
  <si>
    <t>3 - GASOLINA COMUM</t>
  </si>
  <si>
    <t>15/11/2023 23:50</t>
  </si>
  <si>
    <t>FC7CFE</t>
  </si>
  <si>
    <t>15/11/2023 19:18</t>
  </si>
  <si>
    <t>303725299</t>
  </si>
  <si>
    <t>0021751578</t>
  </si>
  <si>
    <t>15/11/2023 19:19</t>
  </si>
  <si>
    <t>15/11/2023 14:25</t>
  </si>
  <si>
    <t>889068493</t>
  </si>
  <si>
    <t>0021717333</t>
  </si>
  <si>
    <t>15/11/2023 14:26</t>
  </si>
  <si>
    <t>1T0GPA</t>
  </si>
  <si>
    <t>RVC9D83</t>
  </si>
  <si>
    <t>17220614 S</t>
  </si>
  <si>
    <t>15/11/2023 06:50</t>
  </si>
  <si>
    <t>244618688</t>
  </si>
  <si>
    <t>0021668397</t>
  </si>
  <si>
    <t>15/11/2023 06:52</t>
  </si>
  <si>
    <t>G9S6MY</t>
  </si>
  <si>
    <t>RUZ0E23</t>
  </si>
  <si>
    <t>19341626 S</t>
  </si>
  <si>
    <t>14/11/2023 19:05</t>
  </si>
  <si>
    <t>749235323</t>
  </si>
  <si>
    <t>0021622132</t>
  </si>
  <si>
    <t>14/11/2023 19:06</t>
  </si>
  <si>
    <t>VE2TYW</t>
  </si>
  <si>
    <t>14/11/2023 18:29</t>
  </si>
  <si>
    <t>735739436</t>
  </si>
  <si>
    <t>0021610229</t>
  </si>
  <si>
    <t>14/11/2023 18:30</t>
  </si>
  <si>
    <t>P2CKQW</t>
  </si>
  <si>
    <t>RVR0H57</t>
  </si>
  <si>
    <t>13320638 S</t>
  </si>
  <si>
    <t>14/11/2023 12:33</t>
  </si>
  <si>
    <t>308997255</t>
  </si>
  <si>
    <t>0039727821</t>
  </si>
  <si>
    <t>14/11/2023 12:35</t>
  </si>
  <si>
    <t>14/11/2023 12:31</t>
  </si>
  <si>
    <t>312012417</t>
  </si>
  <si>
    <t>1404842.699</t>
  </si>
  <si>
    <t>40 - ETANOL COMUM</t>
  </si>
  <si>
    <t>LEANDRO VILLAS BOAS SILVA BRANDÃO</t>
  </si>
  <si>
    <t>15/11/2023 20:27</t>
  </si>
  <si>
    <t>02VQB7</t>
  </si>
  <si>
    <t>RUK1D62</t>
  </si>
  <si>
    <t>07122633 S</t>
  </si>
  <si>
    <t>14/11/2023 07:28</t>
  </si>
  <si>
    <t>581255041</t>
  </si>
  <si>
    <t>0021512920</t>
  </si>
  <si>
    <t>14/11/2023 07:30</t>
  </si>
  <si>
    <t>IZSJC7</t>
  </si>
  <si>
    <t>13/11/2023 19:03</t>
  </si>
  <si>
    <t>628504415</t>
  </si>
  <si>
    <t>0071011427</t>
  </si>
  <si>
    <t>13/11/2023 19:05</t>
  </si>
  <si>
    <t>H832DW</t>
  </si>
  <si>
    <t>RNO3D16</t>
  </si>
  <si>
    <t>12062296 S</t>
  </si>
  <si>
    <t>13/11/2023 16:44</t>
  </si>
  <si>
    <t>577450387</t>
  </si>
  <si>
    <t>0056247044</t>
  </si>
  <si>
    <t>13/11/2023 16:46</t>
  </si>
  <si>
    <t>BWSNBA</t>
  </si>
  <si>
    <t>12/11/2023 23:23</t>
  </si>
  <si>
    <t>951205697</t>
  </si>
  <si>
    <t>0021346490</t>
  </si>
  <si>
    <t>12/11/2023 23:25</t>
  </si>
  <si>
    <t>3E35PL</t>
  </si>
  <si>
    <t>12/11/2023 17:50</t>
  </si>
  <si>
    <t>980052825</t>
  </si>
  <si>
    <t>0070927437</t>
  </si>
  <si>
    <t>12/11/2023 17:51</t>
  </si>
  <si>
    <t>27X7N4</t>
  </si>
  <si>
    <t>RVS3C79</t>
  </si>
  <si>
    <t>20366848 S</t>
  </si>
  <si>
    <t>12/11/2023 04:23</t>
  </si>
  <si>
    <t>733619186</t>
  </si>
  <si>
    <t>3920193.104</t>
  </si>
  <si>
    <t>JAIR OLIVEIRA VENCIMENTO</t>
  </si>
  <si>
    <t>16/11/2023 13:43</t>
  </si>
  <si>
    <t>ZARP PROMO</t>
  </si>
  <si>
    <t>PT0CFI</t>
  </si>
  <si>
    <t>VALE 60 REAIS DE COMBUSTÍVEL</t>
  </si>
  <si>
    <t>60</t>
  </si>
  <si>
    <t>12/11/2023 04:20</t>
  </si>
  <si>
    <t>545033063</t>
  </si>
  <si>
    <t>0021218714</t>
  </si>
  <si>
    <t>12/11/2023 05:39</t>
  </si>
  <si>
    <t>PM4AIX</t>
  </si>
  <si>
    <t>RVN5C66</t>
  </si>
  <si>
    <t>09873492 S</t>
  </si>
  <si>
    <t>11/11/2023 16:54</t>
  </si>
  <si>
    <t>878368733</t>
  </si>
  <si>
    <t>0039523879</t>
  </si>
  <si>
    <t>11/11/2023 16:56</t>
  </si>
  <si>
    <t>L47RDJ</t>
  </si>
  <si>
    <t>RTQ5I69</t>
  </si>
  <si>
    <t>11704734 S</t>
  </si>
  <si>
    <t>11/11/2023 09:21</t>
  </si>
  <si>
    <t>564625267</t>
  </si>
  <si>
    <t>0011607628</t>
  </si>
  <si>
    <t>11/11/2023 09:24</t>
  </si>
  <si>
    <t>DLK1PW</t>
  </si>
  <si>
    <t>11/11/2023 02:24</t>
  </si>
  <si>
    <t>203466027</t>
  </si>
  <si>
    <t>0021038183</t>
  </si>
  <si>
    <t>XSXVAE</t>
  </si>
  <si>
    <t>10/11/2023 20:58</t>
  </si>
  <si>
    <t>765169717</t>
  </si>
  <si>
    <t>0021021223</t>
  </si>
  <si>
    <t>10/11/2023 20:59</t>
  </si>
  <si>
    <t>10/11/2023 16:29</t>
  </si>
  <si>
    <t>549609456</t>
  </si>
  <si>
    <t>0020948195</t>
  </si>
  <si>
    <t>10/11/2023 10:39</t>
  </si>
  <si>
    <t>516436847</t>
  </si>
  <si>
    <t>0020895367</t>
  </si>
  <si>
    <t>10/11/2023 10:41</t>
  </si>
  <si>
    <t>YC7N1R</t>
  </si>
  <si>
    <t>10/11/2023 08:15</t>
  </si>
  <si>
    <t>420020728</t>
  </si>
  <si>
    <t>0070802189</t>
  </si>
  <si>
    <t>10/11/2023 08:17</t>
  </si>
  <si>
    <t>EUBVC5</t>
  </si>
  <si>
    <t>RVO9I48</t>
  </si>
  <si>
    <t>08290136 S</t>
  </si>
  <si>
    <t>10/11/2023 06:28</t>
  </si>
  <si>
    <t>756191034</t>
  </si>
  <si>
    <t>5</t>
  </si>
  <si>
    <t>0092129295</t>
  </si>
  <si>
    <t>5 - GASOLINA COMUM</t>
  </si>
  <si>
    <t>72SH3M</t>
  </si>
  <si>
    <t>RUF1J88</t>
  </si>
  <si>
    <t>10982257 S</t>
  </si>
  <si>
    <t>09/11/2023 12:50</t>
  </si>
  <si>
    <t>990676386</t>
  </si>
  <si>
    <t>0039316676</t>
  </si>
  <si>
    <t>09/11/2023 12:52</t>
  </si>
  <si>
    <t>WC0UCW</t>
  </si>
  <si>
    <t>09/11/2023 11:06</t>
  </si>
  <si>
    <t>545131439</t>
  </si>
  <si>
    <t>0020773855</t>
  </si>
  <si>
    <t>09/11/2023 11:08</t>
  </si>
  <si>
    <t>R7S0U3</t>
  </si>
  <si>
    <t>SHC5J29</t>
  </si>
  <si>
    <t>20049721 S</t>
  </si>
  <si>
    <t>08/11/2023 18:40</t>
  </si>
  <si>
    <t>950638895</t>
  </si>
  <si>
    <t>0070742985</t>
  </si>
  <si>
    <t>08/11/2023 18:43</t>
  </si>
  <si>
    <t>08/11/2023 18:39</t>
  </si>
  <si>
    <t>678107229</t>
  </si>
  <si>
    <t>1409533.523</t>
  </si>
  <si>
    <t>ROSIVAL SOUZA OLIVEIRA</t>
  </si>
  <si>
    <t>17/11/2023 19:15</t>
  </si>
  <si>
    <t>Xodó APP</t>
  </si>
  <si>
    <t>C0APP7</t>
  </si>
  <si>
    <t>DJX0R89</t>
  </si>
  <si>
    <t>VALE ABASTECIMENTO</t>
  </si>
  <si>
    <t>TC40L</t>
  </si>
  <si>
    <t>08/11/2023 16:11</t>
  </si>
  <si>
    <t>596040287</t>
  </si>
  <si>
    <t>LYN1NH</t>
  </si>
  <si>
    <t>RUN4A84</t>
  </si>
  <si>
    <t>03/11/2023 06:10</t>
  </si>
  <si>
    <t>365086421</t>
  </si>
  <si>
    <t>T0RZF0</t>
  </si>
  <si>
    <t>SHB9D95</t>
  </si>
  <si>
    <t>15254295 S</t>
  </si>
  <si>
    <t>03/11/2023 00:18</t>
  </si>
  <si>
    <t>361456656</t>
  </si>
  <si>
    <t>798995.013</t>
  </si>
  <si>
    <t>27 - ETANOL COMUM</t>
  </si>
  <si>
    <t>DENIS DE JESUS SANTOS</t>
  </si>
  <si>
    <t>19/11/2023 19:25</t>
  </si>
  <si>
    <t>VDRK9M</t>
  </si>
  <si>
    <t>RVL8H60</t>
  </si>
  <si>
    <t>02/11/2023 22:55</t>
  </si>
  <si>
    <t>791805267</t>
  </si>
  <si>
    <t>02/11/2023 16:47</t>
  </si>
  <si>
    <t>484091824</t>
  </si>
  <si>
    <t>MTGH01</t>
  </si>
  <si>
    <t>RUT4F62</t>
  </si>
  <si>
    <t>11003323 S</t>
  </si>
  <si>
    <t>02/11/2023 15:49</t>
  </si>
  <si>
    <t>592533362</t>
  </si>
  <si>
    <t>02/11/2023 15:48</t>
  </si>
  <si>
    <t>896256836</t>
  </si>
  <si>
    <t>02/11/2023 15:47</t>
  </si>
  <si>
    <t>580649293</t>
  </si>
  <si>
    <t>3924382.549</t>
  </si>
  <si>
    <t>ANTONIO JOSE DA SILVA NASCIMM</t>
  </si>
  <si>
    <t>19/11/2023 23:05</t>
  </si>
  <si>
    <t>KNWU3J</t>
  </si>
  <si>
    <t>RUN3I14</t>
  </si>
  <si>
    <t>09912177 S</t>
  </si>
  <si>
    <t>02/11/2023 13:47</t>
  </si>
  <si>
    <t>167639557</t>
  </si>
  <si>
    <t>02/11/2023 13:46</t>
  </si>
  <si>
    <t>740514821</t>
  </si>
  <si>
    <t>3028414.345</t>
  </si>
  <si>
    <t>42 - GASOLINA COMUM</t>
  </si>
  <si>
    <t>19/11/2023 23:42</t>
  </si>
  <si>
    <t>DS8K05</t>
  </si>
  <si>
    <t>RMY0A94</t>
  </si>
  <si>
    <t>20211663 S</t>
  </si>
  <si>
    <t>02/11/2023 07:37</t>
  </si>
  <si>
    <t>971718458</t>
  </si>
  <si>
    <t>15</t>
  </si>
  <si>
    <t>1414681.95</t>
  </si>
  <si>
    <t>JORGE ANTONIO CRUZ ALMEIDA</t>
  </si>
  <si>
    <t>20/11/2023 02:24</t>
  </si>
  <si>
    <t>ZIACEB</t>
  </si>
  <si>
    <t>02/11/2023 06:28</t>
  </si>
  <si>
    <t>218735956</t>
  </si>
  <si>
    <t>02/11/2023 00:36</t>
  </si>
  <si>
    <t>738691963</t>
  </si>
  <si>
    <t>3028580.226</t>
  </si>
  <si>
    <t>20/11/2023 03:23</t>
  </si>
  <si>
    <t>0XXEKE</t>
  </si>
  <si>
    <t>01/11/2023 21:59</t>
  </si>
  <si>
    <t>452756908</t>
  </si>
  <si>
    <t>1414723.433</t>
  </si>
  <si>
    <t>20/11/2023 04:30</t>
  </si>
  <si>
    <t>SPVKGH</t>
  </si>
  <si>
    <t>SHT3F61</t>
  </si>
  <si>
    <t>13308468 S</t>
  </si>
  <si>
    <t>01/11/2023 15:46</t>
  </si>
  <si>
    <t>122999234</t>
  </si>
  <si>
    <t>0055905144</t>
  </si>
  <si>
    <t>01/11/2023 15:47</t>
  </si>
  <si>
    <t>CPVFXN</t>
  </si>
  <si>
    <t>01/11/2023 11:06</t>
  </si>
  <si>
    <t>343473195</t>
  </si>
  <si>
    <t>0070643819</t>
  </si>
  <si>
    <t>01/11/2023 11:08</t>
  </si>
  <si>
    <t>IHBL0G</t>
  </si>
  <si>
    <t>01/11/2023 11:05</t>
  </si>
  <si>
    <t>860487447</t>
  </si>
  <si>
    <t>0020382051</t>
  </si>
  <si>
    <t>01/11/2023 11:04</t>
  </si>
  <si>
    <t>795488540</t>
  </si>
  <si>
    <t>799687.636</t>
  </si>
  <si>
    <t>20/11/2023 10:47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</si>
</sst>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44" fontId="1" fillId="2" borderId="0" xfId="1" applyFont="1" applyFill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topLeftCell="C1" workbookViewId="0">
      <selection activeCell="X68" sqref="X68"/>
    </sheetView>
  </sheetViews>
  <sheetFormatPr defaultRowHeight="15"/>
  <cols>
    <col min="7" max="7" width="44.42578125" customWidth="1"/>
    <col min="18" max="22" width="8.85546875" style="3"/>
    <col min="23" max="23" width="9.28515625" style="3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>
        <v>40764465</v>
      </c>
      <c r="K2" t="s">
        <v>31</v>
      </c>
      <c r="L2" t="s">
        <v>32</v>
      </c>
      <c r="M2">
        <v>15.673</v>
      </c>
      <c r="N2">
        <v>3.19</v>
      </c>
      <c r="O2">
        <v>50</v>
      </c>
      <c r="P2" t="s">
        <v>33</v>
      </c>
      <c r="Q2" t="s">
        <v>34</v>
      </c>
      <c r="R2" s="3">
        <v>3.49</v>
      </c>
      <c r="S2" s="3">
        <v>3.34</v>
      </c>
      <c r="T2" s="3">
        <v>3.19</v>
      </c>
      <c r="U2" s="3">
        <v>0.15</v>
      </c>
      <c r="V2" s="3">
        <v>0.15</v>
      </c>
      <c r="W2" s="3">
        <f>V2*M2</f>
        <v>2.3509500000000001</v>
      </c>
    </row>
    <row r="3" spans="1:23">
      <c r="A3" t="s">
        <v>23</v>
      </c>
      <c r="B3" t="s">
        <v>35</v>
      </c>
      <c r="C3" t="s">
        <v>36</v>
      </c>
      <c r="D3" t="s">
        <v>37</v>
      </c>
      <c r="F3" t="s">
        <v>38</v>
      </c>
      <c r="G3" t="s">
        <v>28</v>
      </c>
      <c r="H3" t="s">
        <v>39</v>
      </c>
      <c r="I3" t="s">
        <v>40</v>
      </c>
      <c r="J3">
        <v>40748602</v>
      </c>
      <c r="K3" t="s">
        <v>41</v>
      </c>
      <c r="L3" t="s">
        <v>42</v>
      </c>
      <c r="M3">
        <v>31.347000000000001</v>
      </c>
      <c r="N3">
        <v>3.19</v>
      </c>
      <c r="O3">
        <v>100</v>
      </c>
      <c r="P3" t="s">
        <v>43</v>
      </c>
      <c r="Q3" t="s">
        <v>44</v>
      </c>
      <c r="R3" s="3">
        <v>3.49</v>
      </c>
      <c r="S3" s="3">
        <v>3.34</v>
      </c>
      <c r="T3" s="3">
        <v>3.19</v>
      </c>
      <c r="U3" s="3">
        <v>0.15</v>
      </c>
      <c r="V3" s="3">
        <v>0.15</v>
      </c>
      <c r="W3" s="3">
        <f t="shared" ref="W3:W66" si="0">V3*M3</f>
        <v>4.7020499999999998</v>
      </c>
    </row>
    <row r="4" spans="1:23">
      <c r="A4" t="s">
        <v>23</v>
      </c>
      <c r="B4" t="s">
        <v>45</v>
      </c>
      <c r="C4" t="s">
        <v>46</v>
      </c>
      <c r="D4" t="s">
        <v>47</v>
      </c>
      <c r="F4" t="s">
        <v>48</v>
      </c>
      <c r="G4" t="s">
        <v>28</v>
      </c>
      <c r="H4" t="s">
        <v>49</v>
      </c>
      <c r="I4" t="s">
        <v>40</v>
      </c>
      <c r="J4">
        <v>40737040</v>
      </c>
      <c r="K4" t="s">
        <v>50</v>
      </c>
      <c r="L4" t="s">
        <v>42</v>
      </c>
      <c r="M4">
        <v>31.347000000000001</v>
      </c>
      <c r="N4">
        <v>3.19</v>
      </c>
      <c r="O4">
        <v>100</v>
      </c>
      <c r="P4" t="s">
        <v>51</v>
      </c>
      <c r="Q4" t="s">
        <v>52</v>
      </c>
      <c r="R4" s="3">
        <v>3.49</v>
      </c>
      <c r="S4" s="3">
        <v>3.34</v>
      </c>
      <c r="T4" s="3">
        <v>3.19</v>
      </c>
      <c r="U4" s="3">
        <v>0.15</v>
      </c>
      <c r="V4" s="3">
        <v>0.15</v>
      </c>
      <c r="W4" s="3">
        <f t="shared" si="0"/>
        <v>4.7020499999999998</v>
      </c>
    </row>
    <row r="5" spans="1:23">
      <c r="A5" t="s">
        <v>23</v>
      </c>
      <c r="B5" t="s">
        <v>53</v>
      </c>
      <c r="C5" t="s">
        <v>36</v>
      </c>
      <c r="D5" t="s">
        <v>37</v>
      </c>
      <c r="F5" t="s">
        <v>54</v>
      </c>
      <c r="G5" t="s">
        <v>28</v>
      </c>
      <c r="H5" t="s">
        <v>55</v>
      </c>
      <c r="I5" t="s">
        <v>56</v>
      </c>
      <c r="J5">
        <v>40731407</v>
      </c>
      <c r="K5" t="s">
        <v>57</v>
      </c>
      <c r="L5" t="s">
        <v>58</v>
      </c>
      <c r="M5">
        <v>15.67</v>
      </c>
      <c r="N5">
        <v>3.19</v>
      </c>
      <c r="O5">
        <v>50</v>
      </c>
      <c r="P5" t="s">
        <v>59</v>
      </c>
      <c r="Q5" t="s">
        <v>60</v>
      </c>
      <c r="R5" s="3">
        <v>3.49</v>
      </c>
      <c r="S5" s="3">
        <v>3.34</v>
      </c>
      <c r="T5" s="3">
        <v>3.19</v>
      </c>
      <c r="U5" s="3">
        <v>0.15</v>
      </c>
      <c r="V5" s="3">
        <v>0.15</v>
      </c>
      <c r="W5" s="3">
        <f t="shared" si="0"/>
        <v>2.3504999999999998</v>
      </c>
    </row>
    <row r="6" spans="1:23">
      <c r="A6" t="s">
        <v>23</v>
      </c>
      <c r="B6" t="s">
        <v>61</v>
      </c>
      <c r="C6" t="s">
        <v>62</v>
      </c>
      <c r="D6" t="s">
        <v>63</v>
      </c>
      <c r="F6" t="s">
        <v>64</v>
      </c>
      <c r="G6" t="s">
        <v>28</v>
      </c>
      <c r="H6" t="s">
        <v>65</v>
      </c>
      <c r="I6" t="s">
        <v>30</v>
      </c>
      <c r="J6">
        <v>40697667</v>
      </c>
      <c r="K6" t="s">
        <v>66</v>
      </c>
      <c r="L6" t="s">
        <v>32</v>
      </c>
      <c r="M6">
        <v>37.619</v>
      </c>
      <c r="N6">
        <v>3.19</v>
      </c>
      <c r="O6">
        <v>120</v>
      </c>
      <c r="P6" t="s">
        <v>67</v>
      </c>
      <c r="Q6" t="s">
        <v>68</v>
      </c>
      <c r="R6" s="3">
        <v>3.49</v>
      </c>
      <c r="S6" s="3">
        <v>3.34</v>
      </c>
      <c r="T6" s="3">
        <v>3.19</v>
      </c>
      <c r="U6" s="3">
        <v>0.15</v>
      </c>
      <c r="V6" s="3">
        <v>0.15</v>
      </c>
      <c r="W6" s="3">
        <f t="shared" si="0"/>
        <v>5.6428500000000001</v>
      </c>
    </row>
    <row r="7" spans="1:23">
      <c r="A7" t="s">
        <v>23</v>
      </c>
      <c r="B7" t="s">
        <v>69</v>
      </c>
      <c r="C7" t="s">
        <v>70</v>
      </c>
      <c r="D7" t="s">
        <v>71</v>
      </c>
      <c r="F7" t="s">
        <v>72</v>
      </c>
      <c r="G7" t="s">
        <v>28</v>
      </c>
      <c r="H7" t="s">
        <v>73</v>
      </c>
      <c r="I7" t="s">
        <v>74</v>
      </c>
      <c r="J7">
        <v>40694893</v>
      </c>
      <c r="K7" t="s">
        <v>75</v>
      </c>
      <c r="L7" t="s">
        <v>76</v>
      </c>
      <c r="M7">
        <v>18.989999999999998</v>
      </c>
      <c r="N7">
        <v>3.19</v>
      </c>
      <c r="O7">
        <v>60.58</v>
      </c>
      <c r="P7" t="s">
        <v>33</v>
      </c>
      <c r="Q7" t="s">
        <v>77</v>
      </c>
      <c r="R7" s="3">
        <v>3.49</v>
      </c>
      <c r="S7" s="3">
        <v>3.34</v>
      </c>
      <c r="T7" s="3">
        <v>3.19</v>
      </c>
      <c r="U7" s="3">
        <v>0.15</v>
      </c>
      <c r="V7" s="3">
        <v>0.15</v>
      </c>
      <c r="W7" s="3">
        <f t="shared" si="0"/>
        <v>2.8484999999999996</v>
      </c>
    </row>
    <row r="8" spans="1:23">
      <c r="A8" t="s">
        <v>23</v>
      </c>
      <c r="B8" t="s">
        <v>78</v>
      </c>
      <c r="C8" t="s">
        <v>25</v>
      </c>
      <c r="D8" t="s">
        <v>26</v>
      </c>
      <c r="F8" t="s">
        <v>79</v>
      </c>
      <c r="G8" t="s">
        <v>28</v>
      </c>
      <c r="H8" t="s">
        <v>80</v>
      </c>
      <c r="I8" t="s">
        <v>30</v>
      </c>
      <c r="J8">
        <v>40690637</v>
      </c>
      <c r="K8" t="s">
        <v>81</v>
      </c>
      <c r="L8" t="s">
        <v>32</v>
      </c>
      <c r="M8">
        <v>15.673</v>
      </c>
      <c r="N8">
        <v>3.19</v>
      </c>
      <c r="O8">
        <v>50</v>
      </c>
      <c r="P8" t="s">
        <v>33</v>
      </c>
      <c r="Q8" t="s">
        <v>82</v>
      </c>
      <c r="R8" s="3">
        <v>3.49</v>
      </c>
      <c r="S8" s="3">
        <v>3.34</v>
      </c>
      <c r="T8" s="3">
        <v>3.19</v>
      </c>
      <c r="U8" s="3">
        <v>0.15</v>
      </c>
      <c r="V8" s="3">
        <v>0.15</v>
      </c>
      <c r="W8" s="3">
        <f t="shared" si="0"/>
        <v>2.3509500000000001</v>
      </c>
    </row>
    <row r="9" spans="1:23">
      <c r="A9" t="s">
        <v>23</v>
      </c>
      <c r="B9" t="s">
        <v>83</v>
      </c>
      <c r="C9" t="s">
        <v>36</v>
      </c>
      <c r="D9" t="s">
        <v>37</v>
      </c>
      <c r="F9" t="s">
        <v>84</v>
      </c>
      <c r="G9" t="s">
        <v>28</v>
      </c>
      <c r="H9" t="s">
        <v>85</v>
      </c>
      <c r="I9" t="s">
        <v>56</v>
      </c>
      <c r="J9">
        <v>40678007</v>
      </c>
      <c r="K9" t="s">
        <v>86</v>
      </c>
      <c r="L9" t="s">
        <v>58</v>
      </c>
      <c r="M9">
        <v>15.68</v>
      </c>
      <c r="N9">
        <v>3.19</v>
      </c>
      <c r="O9">
        <v>50</v>
      </c>
      <c r="P9" t="s">
        <v>87</v>
      </c>
      <c r="Q9" t="s">
        <v>88</v>
      </c>
      <c r="R9" s="3">
        <v>3.49</v>
      </c>
      <c r="S9" s="3">
        <v>3.34</v>
      </c>
      <c r="T9" s="3">
        <v>3.19</v>
      </c>
      <c r="U9" s="3">
        <v>0.15</v>
      </c>
      <c r="V9" s="3">
        <v>0.15</v>
      </c>
      <c r="W9" s="3">
        <f t="shared" si="0"/>
        <v>2.3519999999999999</v>
      </c>
    </row>
    <row r="10" spans="1:23">
      <c r="A10" t="s">
        <v>23</v>
      </c>
      <c r="B10" t="s">
        <v>78</v>
      </c>
      <c r="C10" t="s">
        <v>25</v>
      </c>
      <c r="D10" t="s">
        <v>26</v>
      </c>
      <c r="F10" t="s">
        <v>89</v>
      </c>
      <c r="G10" t="s">
        <v>28</v>
      </c>
      <c r="H10" t="s">
        <v>90</v>
      </c>
      <c r="I10" t="s">
        <v>40</v>
      </c>
      <c r="J10">
        <v>40671716</v>
      </c>
      <c r="K10" t="s">
        <v>91</v>
      </c>
      <c r="L10" t="s">
        <v>42</v>
      </c>
      <c r="M10">
        <v>15.673</v>
      </c>
      <c r="N10">
        <v>3.19</v>
      </c>
      <c r="O10">
        <v>50</v>
      </c>
      <c r="P10" t="s">
        <v>92</v>
      </c>
      <c r="Q10" t="s">
        <v>93</v>
      </c>
      <c r="R10" s="3">
        <v>3.49</v>
      </c>
      <c r="S10" s="3">
        <v>3.34</v>
      </c>
      <c r="T10" s="3">
        <v>3.19</v>
      </c>
      <c r="U10" s="3">
        <v>0.15</v>
      </c>
      <c r="V10" s="3">
        <v>0.15</v>
      </c>
      <c r="W10" s="3">
        <f t="shared" si="0"/>
        <v>2.3509500000000001</v>
      </c>
    </row>
    <row r="11" spans="1:23">
      <c r="A11" t="s">
        <v>23</v>
      </c>
      <c r="B11" t="s">
        <v>78</v>
      </c>
      <c r="C11" t="s">
        <v>25</v>
      </c>
      <c r="D11" t="s">
        <v>26</v>
      </c>
      <c r="F11" t="s">
        <v>94</v>
      </c>
      <c r="G11" t="s">
        <v>28</v>
      </c>
      <c r="H11" t="s">
        <v>95</v>
      </c>
      <c r="I11" t="s">
        <v>30</v>
      </c>
      <c r="J11">
        <v>40643356</v>
      </c>
      <c r="K11" t="s">
        <v>96</v>
      </c>
      <c r="L11" t="s">
        <v>32</v>
      </c>
      <c r="M11">
        <v>15.673</v>
      </c>
      <c r="N11">
        <v>3.19</v>
      </c>
      <c r="O11">
        <v>50</v>
      </c>
      <c r="P11" t="s">
        <v>97</v>
      </c>
      <c r="Q11" t="s">
        <v>98</v>
      </c>
      <c r="R11" s="3">
        <v>3.49</v>
      </c>
      <c r="S11" s="3">
        <v>3.34</v>
      </c>
      <c r="T11" s="3">
        <v>3.19</v>
      </c>
      <c r="U11" s="3">
        <v>0.15</v>
      </c>
      <c r="V11" s="3">
        <v>0.15</v>
      </c>
      <c r="W11" s="3">
        <f t="shared" si="0"/>
        <v>2.3509500000000001</v>
      </c>
    </row>
    <row r="12" spans="1:23">
      <c r="A12" t="s">
        <v>23</v>
      </c>
      <c r="B12" t="s">
        <v>83</v>
      </c>
      <c r="C12" t="s">
        <v>36</v>
      </c>
      <c r="D12" t="s">
        <v>37</v>
      </c>
      <c r="F12" t="s">
        <v>99</v>
      </c>
      <c r="G12" t="s">
        <v>28</v>
      </c>
      <c r="H12" t="s">
        <v>100</v>
      </c>
      <c r="I12" t="s">
        <v>101</v>
      </c>
      <c r="J12">
        <v>40641292</v>
      </c>
      <c r="K12" t="s">
        <v>102</v>
      </c>
      <c r="L12" t="s">
        <v>103</v>
      </c>
      <c r="M12">
        <v>9.4510000000000005</v>
      </c>
      <c r="N12">
        <v>5.29</v>
      </c>
      <c r="O12">
        <v>50</v>
      </c>
      <c r="P12" t="s">
        <v>97</v>
      </c>
      <c r="Q12" t="s">
        <v>104</v>
      </c>
      <c r="R12" s="3">
        <v>5.59</v>
      </c>
      <c r="S12" s="3">
        <v>5.44</v>
      </c>
      <c r="T12" s="3">
        <v>5.29</v>
      </c>
      <c r="U12" s="3">
        <v>0.15</v>
      </c>
      <c r="V12" s="3">
        <v>0.15</v>
      </c>
      <c r="W12" s="3">
        <f t="shared" si="0"/>
        <v>1.4176500000000001</v>
      </c>
    </row>
    <row r="13" spans="1:23">
      <c r="A13" t="s">
        <v>23</v>
      </c>
      <c r="B13" t="s">
        <v>105</v>
      </c>
      <c r="C13" t="s">
        <v>106</v>
      </c>
      <c r="D13" t="s">
        <v>107</v>
      </c>
      <c r="F13" t="s">
        <v>108</v>
      </c>
      <c r="G13" t="s">
        <v>28</v>
      </c>
      <c r="H13" t="s">
        <v>109</v>
      </c>
      <c r="I13" t="s">
        <v>74</v>
      </c>
      <c r="J13">
        <v>40641163</v>
      </c>
      <c r="K13" t="s">
        <v>110</v>
      </c>
      <c r="L13" t="s">
        <v>76</v>
      </c>
      <c r="M13">
        <v>11.97</v>
      </c>
      <c r="N13">
        <v>3.19</v>
      </c>
      <c r="O13">
        <v>38.18</v>
      </c>
      <c r="P13" t="s">
        <v>97</v>
      </c>
      <c r="Q13" t="s">
        <v>111</v>
      </c>
      <c r="R13" s="3">
        <v>3.49</v>
      </c>
      <c r="S13" s="3">
        <v>3.34</v>
      </c>
      <c r="T13" s="3">
        <v>3.19</v>
      </c>
      <c r="U13" s="3">
        <v>0.15</v>
      </c>
      <c r="V13" s="3">
        <v>0.15</v>
      </c>
      <c r="W13" s="3">
        <f t="shared" si="0"/>
        <v>1.7955000000000001</v>
      </c>
    </row>
    <row r="14" spans="1:23">
      <c r="A14" t="s">
        <v>23</v>
      </c>
      <c r="B14" t="s">
        <v>112</v>
      </c>
      <c r="C14" t="s">
        <v>113</v>
      </c>
      <c r="D14" t="s">
        <v>114</v>
      </c>
      <c r="F14" t="s">
        <v>115</v>
      </c>
      <c r="G14" t="s">
        <v>28</v>
      </c>
      <c r="H14" t="s">
        <v>116</v>
      </c>
      <c r="I14" t="s">
        <v>40</v>
      </c>
      <c r="J14">
        <v>40629185</v>
      </c>
      <c r="K14" t="s">
        <v>117</v>
      </c>
      <c r="L14" t="s">
        <v>42</v>
      </c>
      <c r="M14">
        <v>12.539</v>
      </c>
      <c r="N14">
        <v>3.19</v>
      </c>
      <c r="O14">
        <v>40</v>
      </c>
      <c r="P14" t="s">
        <v>43</v>
      </c>
      <c r="Q14" t="s">
        <v>118</v>
      </c>
      <c r="R14" s="3">
        <v>3.49</v>
      </c>
      <c r="S14" s="3">
        <v>3.34</v>
      </c>
      <c r="T14" s="3">
        <v>3.19</v>
      </c>
      <c r="U14" s="3">
        <v>0.15</v>
      </c>
      <c r="V14" s="3">
        <v>0.15</v>
      </c>
      <c r="W14" s="3">
        <f t="shared" si="0"/>
        <v>1.8808499999999999</v>
      </c>
    </row>
    <row r="15" spans="1:23">
      <c r="A15" t="s">
        <v>23</v>
      </c>
      <c r="B15" t="s">
        <v>119</v>
      </c>
      <c r="C15" t="s">
        <v>25</v>
      </c>
      <c r="D15" t="s">
        <v>26</v>
      </c>
      <c r="F15" t="s">
        <v>120</v>
      </c>
      <c r="G15" t="s">
        <v>28</v>
      </c>
      <c r="H15" t="s">
        <v>121</v>
      </c>
      <c r="I15" t="s">
        <v>74</v>
      </c>
      <c r="J15">
        <v>40619235</v>
      </c>
      <c r="K15" t="s">
        <v>122</v>
      </c>
      <c r="L15" t="s">
        <v>76</v>
      </c>
      <c r="M15">
        <v>15.68</v>
      </c>
      <c r="N15">
        <v>3.19</v>
      </c>
      <c r="O15">
        <v>50</v>
      </c>
      <c r="P15" t="s">
        <v>97</v>
      </c>
      <c r="Q15" t="s">
        <v>123</v>
      </c>
      <c r="R15" s="3">
        <v>3.49</v>
      </c>
      <c r="S15" s="3">
        <v>3.34</v>
      </c>
      <c r="T15" s="3">
        <v>3.19</v>
      </c>
      <c r="U15" s="3">
        <v>0.15</v>
      </c>
      <c r="V15" s="3">
        <v>0.15</v>
      </c>
      <c r="W15" s="3">
        <f t="shared" si="0"/>
        <v>2.3519999999999999</v>
      </c>
    </row>
    <row r="16" spans="1:23">
      <c r="A16" t="s">
        <v>23</v>
      </c>
      <c r="B16" t="s">
        <v>124</v>
      </c>
      <c r="C16" t="s">
        <v>125</v>
      </c>
      <c r="D16" t="s">
        <v>126</v>
      </c>
      <c r="F16" t="s">
        <v>127</v>
      </c>
      <c r="G16" t="s">
        <v>28</v>
      </c>
      <c r="H16" t="s">
        <v>128</v>
      </c>
      <c r="I16" t="s">
        <v>74</v>
      </c>
      <c r="J16">
        <v>40594986</v>
      </c>
      <c r="K16" t="s">
        <v>129</v>
      </c>
      <c r="L16" t="s">
        <v>76</v>
      </c>
      <c r="M16">
        <v>15.68</v>
      </c>
      <c r="N16">
        <v>3.19</v>
      </c>
      <c r="O16">
        <v>50</v>
      </c>
      <c r="P16" t="s">
        <v>97</v>
      </c>
      <c r="Q16" t="s">
        <v>130</v>
      </c>
      <c r="R16" s="3">
        <v>3.49</v>
      </c>
      <c r="S16" s="3">
        <v>3.34</v>
      </c>
      <c r="T16" s="3">
        <v>3.19</v>
      </c>
      <c r="U16" s="3">
        <v>0.15</v>
      </c>
      <c r="V16" s="3">
        <v>0.15</v>
      </c>
      <c r="W16" s="3">
        <f t="shared" si="0"/>
        <v>2.3519999999999999</v>
      </c>
    </row>
    <row r="17" spans="1:23">
      <c r="A17" t="s">
        <v>23</v>
      </c>
      <c r="B17" t="s">
        <v>131</v>
      </c>
      <c r="C17" t="s">
        <v>132</v>
      </c>
      <c r="D17" t="s">
        <v>133</v>
      </c>
      <c r="F17" t="s">
        <v>134</v>
      </c>
      <c r="G17" t="s">
        <v>28</v>
      </c>
      <c r="H17" t="s">
        <v>135</v>
      </c>
      <c r="I17" t="s">
        <v>30</v>
      </c>
      <c r="W17" s="3">
        <f t="shared" si="0"/>
        <v>0</v>
      </c>
    </row>
    <row r="18" spans="1:23">
      <c r="A18" t="s">
        <v>23</v>
      </c>
      <c r="B18" t="s">
        <v>136</v>
      </c>
      <c r="C18" t="s">
        <v>106</v>
      </c>
      <c r="D18" t="s">
        <v>107</v>
      </c>
      <c r="F18" t="s">
        <v>137</v>
      </c>
      <c r="G18" t="s">
        <v>28</v>
      </c>
      <c r="H18" t="s">
        <v>138</v>
      </c>
      <c r="I18" t="s">
        <v>30</v>
      </c>
      <c r="J18">
        <v>40551723</v>
      </c>
      <c r="K18" t="s">
        <v>139</v>
      </c>
      <c r="L18" t="s">
        <v>32</v>
      </c>
      <c r="M18">
        <v>18.181000000000001</v>
      </c>
      <c r="N18">
        <v>3.19</v>
      </c>
      <c r="O18">
        <v>58</v>
      </c>
      <c r="P18" t="s">
        <v>43</v>
      </c>
      <c r="Q18" t="s">
        <v>140</v>
      </c>
      <c r="R18" s="3">
        <v>3.49</v>
      </c>
      <c r="S18" s="3">
        <v>3.34</v>
      </c>
      <c r="T18" s="3">
        <v>3.19</v>
      </c>
      <c r="U18" s="3">
        <v>0.15</v>
      </c>
      <c r="V18" s="3">
        <v>0.15</v>
      </c>
      <c r="W18" s="3">
        <f t="shared" si="0"/>
        <v>2.72715</v>
      </c>
    </row>
    <row r="19" spans="1:23">
      <c r="A19" t="s">
        <v>23</v>
      </c>
      <c r="B19" t="s">
        <v>141</v>
      </c>
      <c r="C19" t="s">
        <v>142</v>
      </c>
      <c r="D19" t="s">
        <v>143</v>
      </c>
      <c r="F19" t="s">
        <v>144</v>
      </c>
      <c r="G19" t="s">
        <v>28</v>
      </c>
      <c r="H19" t="s">
        <v>145</v>
      </c>
      <c r="I19" t="s">
        <v>30</v>
      </c>
      <c r="J19">
        <v>40517083</v>
      </c>
      <c r="K19" t="s">
        <v>146</v>
      </c>
      <c r="L19" t="s">
        <v>32</v>
      </c>
      <c r="M19">
        <v>12.539</v>
      </c>
      <c r="N19">
        <v>3.19</v>
      </c>
      <c r="O19">
        <v>40</v>
      </c>
      <c r="P19" t="s">
        <v>87</v>
      </c>
      <c r="Q19" t="s">
        <v>147</v>
      </c>
      <c r="R19" s="3">
        <v>3.49</v>
      </c>
      <c r="S19" s="3">
        <v>3.34</v>
      </c>
      <c r="T19" s="3">
        <v>3.19</v>
      </c>
      <c r="U19" s="3">
        <v>0.15</v>
      </c>
      <c r="V19" s="3">
        <v>0.15</v>
      </c>
      <c r="W19" s="3">
        <f t="shared" si="0"/>
        <v>1.8808499999999999</v>
      </c>
    </row>
    <row r="20" spans="1:23">
      <c r="A20" t="s">
        <v>23</v>
      </c>
      <c r="B20" t="s">
        <v>148</v>
      </c>
      <c r="C20" t="s">
        <v>36</v>
      </c>
      <c r="D20" t="s">
        <v>37</v>
      </c>
      <c r="F20" t="s">
        <v>149</v>
      </c>
      <c r="G20" t="s">
        <v>28</v>
      </c>
      <c r="H20" t="s">
        <v>150</v>
      </c>
      <c r="I20" t="s">
        <v>30</v>
      </c>
      <c r="J20">
        <v>40502549</v>
      </c>
      <c r="K20" t="s">
        <v>151</v>
      </c>
      <c r="L20" t="s">
        <v>32</v>
      </c>
      <c r="M20">
        <v>15.718999999999999</v>
      </c>
      <c r="N20">
        <v>3.19</v>
      </c>
      <c r="O20">
        <v>50.14</v>
      </c>
      <c r="P20" t="s">
        <v>152</v>
      </c>
      <c r="Q20" t="s">
        <v>153</v>
      </c>
      <c r="R20" s="3">
        <v>3.49</v>
      </c>
      <c r="S20" s="3">
        <v>3.34</v>
      </c>
      <c r="T20" s="3">
        <v>3.19</v>
      </c>
      <c r="U20" s="3">
        <v>0.15</v>
      </c>
      <c r="V20" s="3">
        <v>0.15</v>
      </c>
      <c r="W20" s="3">
        <f t="shared" si="0"/>
        <v>2.35785</v>
      </c>
    </row>
    <row r="21" spans="1:23">
      <c r="A21" t="s">
        <v>23</v>
      </c>
      <c r="B21" t="s">
        <v>154</v>
      </c>
      <c r="C21" t="s">
        <v>25</v>
      </c>
      <c r="D21" t="s">
        <v>26</v>
      </c>
      <c r="F21" t="s">
        <v>155</v>
      </c>
      <c r="G21" t="s">
        <v>28</v>
      </c>
      <c r="H21" t="s">
        <v>156</v>
      </c>
      <c r="I21" t="s">
        <v>40</v>
      </c>
      <c r="J21">
        <v>40500597</v>
      </c>
      <c r="K21" t="s">
        <v>157</v>
      </c>
      <c r="L21" t="s">
        <v>42</v>
      </c>
      <c r="M21">
        <v>15.673</v>
      </c>
      <c r="N21">
        <v>3.19</v>
      </c>
      <c r="O21">
        <v>50</v>
      </c>
      <c r="P21" t="s">
        <v>33</v>
      </c>
      <c r="Q21" t="s">
        <v>158</v>
      </c>
      <c r="R21" s="3">
        <v>3.49</v>
      </c>
      <c r="S21" s="3">
        <v>3.34</v>
      </c>
      <c r="T21" s="3">
        <v>3.19</v>
      </c>
      <c r="U21" s="3">
        <v>0.15</v>
      </c>
      <c r="V21" s="3">
        <v>0.15</v>
      </c>
      <c r="W21" s="3">
        <f t="shared" si="0"/>
        <v>2.3509500000000001</v>
      </c>
    </row>
    <row r="22" spans="1:23">
      <c r="A22" t="s">
        <v>23</v>
      </c>
      <c r="B22" t="s">
        <v>159</v>
      </c>
      <c r="C22" t="s">
        <v>160</v>
      </c>
      <c r="D22" t="s">
        <v>161</v>
      </c>
      <c r="F22" t="s">
        <v>162</v>
      </c>
      <c r="G22" t="s">
        <v>28</v>
      </c>
      <c r="H22" t="s">
        <v>163</v>
      </c>
      <c r="I22" t="s">
        <v>40</v>
      </c>
      <c r="J22">
        <v>40420652</v>
      </c>
      <c r="K22" t="s">
        <v>164</v>
      </c>
      <c r="L22" t="s">
        <v>165</v>
      </c>
      <c r="M22">
        <v>32.636000000000003</v>
      </c>
      <c r="N22">
        <v>5.54</v>
      </c>
      <c r="O22">
        <v>180.8</v>
      </c>
      <c r="P22" t="s">
        <v>166</v>
      </c>
      <c r="Q22" t="s">
        <v>167</v>
      </c>
      <c r="R22" s="3">
        <v>5.79</v>
      </c>
      <c r="S22" s="3">
        <v>5.64</v>
      </c>
      <c r="T22" s="3">
        <v>5.54</v>
      </c>
      <c r="U22" s="3">
        <v>0.15</v>
      </c>
      <c r="V22" s="3">
        <v>0.1</v>
      </c>
      <c r="W22" s="3">
        <f t="shared" si="0"/>
        <v>3.2636000000000003</v>
      </c>
    </row>
    <row r="23" spans="1:23">
      <c r="A23" t="s">
        <v>23</v>
      </c>
      <c r="B23" t="s">
        <v>168</v>
      </c>
      <c r="C23" t="s">
        <v>169</v>
      </c>
      <c r="D23" t="s">
        <v>170</v>
      </c>
      <c r="F23" t="s">
        <v>171</v>
      </c>
      <c r="G23" t="s">
        <v>28</v>
      </c>
      <c r="H23" t="s">
        <v>172</v>
      </c>
      <c r="I23" t="s">
        <v>173</v>
      </c>
      <c r="J23">
        <v>40475286</v>
      </c>
      <c r="K23" t="s">
        <v>174</v>
      </c>
      <c r="L23" t="s">
        <v>175</v>
      </c>
      <c r="M23">
        <v>3.78</v>
      </c>
      <c r="N23">
        <v>5.29</v>
      </c>
      <c r="O23">
        <v>20</v>
      </c>
      <c r="P23" t="s">
        <v>43</v>
      </c>
      <c r="Q23" t="s">
        <v>176</v>
      </c>
      <c r="R23" s="3">
        <v>5.59</v>
      </c>
      <c r="S23" s="3">
        <v>5.44</v>
      </c>
      <c r="T23" s="3">
        <v>5.29</v>
      </c>
      <c r="U23" s="3">
        <v>0.15</v>
      </c>
      <c r="V23" s="3">
        <v>0.15</v>
      </c>
      <c r="W23" s="3">
        <f t="shared" si="0"/>
        <v>0.56699999999999995</v>
      </c>
    </row>
    <row r="24" spans="1:23">
      <c r="A24" t="s">
        <v>23</v>
      </c>
      <c r="B24" t="s">
        <v>177</v>
      </c>
      <c r="C24" t="s">
        <v>25</v>
      </c>
      <c r="D24" t="s">
        <v>26</v>
      </c>
      <c r="F24" t="s">
        <v>178</v>
      </c>
      <c r="G24" t="s">
        <v>28</v>
      </c>
      <c r="H24" t="s">
        <v>179</v>
      </c>
      <c r="I24" t="s">
        <v>30</v>
      </c>
      <c r="J24">
        <v>40466808</v>
      </c>
      <c r="K24" t="s">
        <v>180</v>
      </c>
      <c r="L24" t="s">
        <v>32</v>
      </c>
      <c r="M24">
        <v>15.673</v>
      </c>
      <c r="N24">
        <v>3.19</v>
      </c>
      <c r="O24">
        <v>50</v>
      </c>
      <c r="P24" t="s">
        <v>92</v>
      </c>
      <c r="Q24" t="s">
        <v>181</v>
      </c>
      <c r="R24" s="3">
        <v>3.49</v>
      </c>
      <c r="S24" s="3">
        <v>3.34</v>
      </c>
      <c r="T24" s="3">
        <v>3.19</v>
      </c>
      <c r="U24" s="3">
        <v>0.15</v>
      </c>
      <c r="V24" s="3">
        <v>0.15</v>
      </c>
      <c r="W24" s="3">
        <f t="shared" si="0"/>
        <v>2.3509500000000001</v>
      </c>
    </row>
    <row r="25" spans="1:23">
      <c r="A25" t="s">
        <v>23</v>
      </c>
      <c r="B25" t="s">
        <v>177</v>
      </c>
      <c r="C25" t="s">
        <v>25</v>
      </c>
      <c r="D25" t="s">
        <v>26</v>
      </c>
      <c r="F25" t="s">
        <v>182</v>
      </c>
      <c r="G25" t="s">
        <v>28</v>
      </c>
      <c r="H25" t="s">
        <v>183</v>
      </c>
      <c r="I25" t="s">
        <v>30</v>
      </c>
      <c r="J25">
        <v>40450883</v>
      </c>
      <c r="K25" t="s">
        <v>184</v>
      </c>
      <c r="L25" t="s">
        <v>32</v>
      </c>
      <c r="M25">
        <v>7.8360000000000003</v>
      </c>
      <c r="N25">
        <v>3.19</v>
      </c>
      <c r="O25">
        <v>25</v>
      </c>
      <c r="P25" t="s">
        <v>51</v>
      </c>
      <c r="Q25" t="s">
        <v>185</v>
      </c>
      <c r="R25" s="3">
        <v>3.49</v>
      </c>
      <c r="S25" s="3">
        <v>3.34</v>
      </c>
      <c r="T25" s="3">
        <v>3.19</v>
      </c>
      <c r="U25" s="3">
        <v>0.15</v>
      </c>
      <c r="V25" s="3">
        <v>0.15</v>
      </c>
      <c r="W25" s="3">
        <f t="shared" si="0"/>
        <v>1.1754</v>
      </c>
    </row>
    <row r="26" spans="1:23">
      <c r="A26" t="s">
        <v>23</v>
      </c>
      <c r="B26" t="s">
        <v>186</v>
      </c>
      <c r="C26" t="s">
        <v>187</v>
      </c>
      <c r="D26" t="s">
        <v>188</v>
      </c>
      <c r="F26" t="s">
        <v>189</v>
      </c>
      <c r="G26" t="s">
        <v>28</v>
      </c>
      <c r="H26" t="s">
        <v>190</v>
      </c>
      <c r="I26" t="s">
        <v>30</v>
      </c>
      <c r="J26">
        <v>40420092</v>
      </c>
      <c r="K26" t="s">
        <v>191</v>
      </c>
      <c r="L26" t="s">
        <v>32</v>
      </c>
      <c r="M26">
        <v>18.808</v>
      </c>
      <c r="N26">
        <v>3.19</v>
      </c>
      <c r="O26">
        <v>60</v>
      </c>
      <c r="P26" t="s">
        <v>33</v>
      </c>
      <c r="Q26" t="s">
        <v>192</v>
      </c>
      <c r="R26" s="3">
        <v>3.49</v>
      </c>
      <c r="S26" s="3">
        <v>3.34</v>
      </c>
      <c r="T26" s="3">
        <v>3.19</v>
      </c>
      <c r="U26" s="3">
        <v>0.15</v>
      </c>
      <c r="V26" s="3">
        <v>0.15</v>
      </c>
      <c r="W26" s="3">
        <f t="shared" si="0"/>
        <v>2.8211999999999997</v>
      </c>
    </row>
    <row r="27" spans="1:23">
      <c r="A27" t="s">
        <v>23</v>
      </c>
      <c r="B27" t="s">
        <v>193</v>
      </c>
      <c r="C27" t="s">
        <v>194</v>
      </c>
      <c r="D27" t="s">
        <v>195</v>
      </c>
      <c r="F27" t="s">
        <v>196</v>
      </c>
      <c r="G27" t="s">
        <v>28</v>
      </c>
      <c r="H27" t="s">
        <v>197</v>
      </c>
      <c r="I27" t="s">
        <v>30</v>
      </c>
      <c r="J27">
        <v>40384126</v>
      </c>
      <c r="K27" t="s">
        <v>198</v>
      </c>
      <c r="L27" t="s">
        <v>32</v>
      </c>
      <c r="M27">
        <v>15.673</v>
      </c>
      <c r="N27">
        <v>3.19</v>
      </c>
      <c r="O27">
        <v>50</v>
      </c>
      <c r="P27" t="s">
        <v>51</v>
      </c>
      <c r="Q27" t="s">
        <v>199</v>
      </c>
      <c r="R27" s="3">
        <v>3.49</v>
      </c>
      <c r="S27" s="3">
        <v>3.34</v>
      </c>
      <c r="T27" s="3">
        <v>3.19</v>
      </c>
      <c r="U27" s="3">
        <v>0.15</v>
      </c>
      <c r="V27" s="3">
        <v>0.15</v>
      </c>
      <c r="W27" s="3">
        <f t="shared" si="0"/>
        <v>2.3509500000000001</v>
      </c>
    </row>
    <row r="28" spans="1:23">
      <c r="A28" t="s">
        <v>23</v>
      </c>
      <c r="B28" t="s">
        <v>200</v>
      </c>
      <c r="C28" t="s">
        <v>36</v>
      </c>
      <c r="D28" t="s">
        <v>37</v>
      </c>
      <c r="F28" t="s">
        <v>201</v>
      </c>
      <c r="G28" t="s">
        <v>28</v>
      </c>
      <c r="H28" t="s">
        <v>202</v>
      </c>
      <c r="I28" t="s">
        <v>30</v>
      </c>
      <c r="J28">
        <v>40379300</v>
      </c>
      <c r="K28" t="s">
        <v>203</v>
      </c>
      <c r="L28" t="s">
        <v>32</v>
      </c>
      <c r="M28">
        <v>15.673</v>
      </c>
      <c r="N28">
        <v>3.19</v>
      </c>
      <c r="O28">
        <v>50</v>
      </c>
      <c r="P28" t="s">
        <v>51</v>
      </c>
      <c r="Q28" t="s">
        <v>204</v>
      </c>
      <c r="R28" s="3">
        <v>3.49</v>
      </c>
      <c r="S28" s="3">
        <v>3.34</v>
      </c>
      <c r="T28" s="3">
        <v>3.19</v>
      </c>
      <c r="U28" s="3">
        <v>0.15</v>
      </c>
      <c r="V28" s="3">
        <v>0.15</v>
      </c>
      <c r="W28" s="3">
        <f t="shared" si="0"/>
        <v>2.3509500000000001</v>
      </c>
    </row>
    <row r="29" spans="1:23">
      <c r="A29" t="s">
        <v>23</v>
      </c>
      <c r="B29" t="s">
        <v>205</v>
      </c>
      <c r="C29" t="s">
        <v>206</v>
      </c>
      <c r="D29" t="s">
        <v>207</v>
      </c>
      <c r="F29" t="s">
        <v>208</v>
      </c>
      <c r="G29" t="s">
        <v>28</v>
      </c>
      <c r="H29" t="s">
        <v>209</v>
      </c>
      <c r="I29" t="s">
        <v>56</v>
      </c>
      <c r="J29">
        <v>40349309</v>
      </c>
      <c r="K29" t="s">
        <v>210</v>
      </c>
      <c r="L29" t="s">
        <v>58</v>
      </c>
      <c r="M29">
        <v>18.809999999999999</v>
      </c>
      <c r="N29">
        <v>3.19</v>
      </c>
      <c r="O29">
        <v>60</v>
      </c>
      <c r="P29" t="s">
        <v>152</v>
      </c>
      <c r="Q29" t="s">
        <v>211</v>
      </c>
      <c r="R29" s="3">
        <v>3.49</v>
      </c>
      <c r="S29" s="3">
        <v>3.34</v>
      </c>
      <c r="T29" s="3">
        <v>3.19</v>
      </c>
      <c r="U29" s="3">
        <v>0.15</v>
      </c>
      <c r="V29" s="3">
        <v>0.15</v>
      </c>
      <c r="W29" s="3">
        <f t="shared" si="0"/>
        <v>2.8214999999999999</v>
      </c>
    </row>
    <row r="30" spans="1:23">
      <c r="A30" t="s">
        <v>23</v>
      </c>
      <c r="B30" t="s">
        <v>205</v>
      </c>
      <c r="C30" t="s">
        <v>206</v>
      </c>
      <c r="D30" t="s">
        <v>207</v>
      </c>
      <c r="F30" t="s">
        <v>212</v>
      </c>
      <c r="G30" t="s">
        <v>28</v>
      </c>
      <c r="H30" t="s">
        <v>213</v>
      </c>
      <c r="I30" t="s">
        <v>40</v>
      </c>
      <c r="J30">
        <v>40470389</v>
      </c>
      <c r="K30" t="s">
        <v>214</v>
      </c>
      <c r="L30" t="s">
        <v>215</v>
      </c>
      <c r="M30">
        <v>34.301000000000002</v>
      </c>
      <c r="N30">
        <v>3.79</v>
      </c>
      <c r="O30">
        <v>130</v>
      </c>
      <c r="P30" t="s">
        <v>216</v>
      </c>
      <c r="Q30" t="s">
        <v>217</v>
      </c>
      <c r="R30" s="3">
        <v>4.1900000000000004</v>
      </c>
      <c r="S30" s="3">
        <v>4.04</v>
      </c>
      <c r="T30" s="3">
        <v>3.79</v>
      </c>
      <c r="U30" s="3">
        <v>0.15</v>
      </c>
      <c r="V30" s="3">
        <v>0.25</v>
      </c>
      <c r="W30" s="3">
        <f t="shared" si="0"/>
        <v>8.5752500000000005</v>
      </c>
    </row>
    <row r="31" spans="1:23">
      <c r="A31" t="s">
        <v>23</v>
      </c>
      <c r="B31" t="s">
        <v>218</v>
      </c>
      <c r="C31" t="s">
        <v>219</v>
      </c>
      <c r="D31" t="s">
        <v>220</v>
      </c>
      <c r="F31" t="s">
        <v>221</v>
      </c>
      <c r="G31" t="s">
        <v>28</v>
      </c>
      <c r="H31" t="s">
        <v>222</v>
      </c>
      <c r="I31" t="s">
        <v>30</v>
      </c>
      <c r="J31">
        <v>40314855</v>
      </c>
      <c r="K31" t="s">
        <v>223</v>
      </c>
      <c r="L31" t="s">
        <v>32</v>
      </c>
      <c r="M31">
        <v>8.3759999999999994</v>
      </c>
      <c r="N31">
        <v>3.19</v>
      </c>
      <c r="O31">
        <v>26.72</v>
      </c>
      <c r="P31" t="s">
        <v>33</v>
      </c>
      <c r="Q31" t="s">
        <v>224</v>
      </c>
      <c r="R31" s="3">
        <v>3.49</v>
      </c>
      <c r="S31" s="3">
        <v>3.34</v>
      </c>
      <c r="T31" s="3">
        <v>3.19</v>
      </c>
      <c r="U31" s="3">
        <v>0.15</v>
      </c>
      <c r="V31" s="3">
        <v>0.15</v>
      </c>
      <c r="W31" s="3">
        <f t="shared" si="0"/>
        <v>1.2564</v>
      </c>
    </row>
    <row r="32" spans="1:23">
      <c r="A32" t="s">
        <v>23</v>
      </c>
      <c r="B32" t="s">
        <v>225</v>
      </c>
      <c r="C32" t="s">
        <v>36</v>
      </c>
      <c r="D32" t="s">
        <v>37</v>
      </c>
      <c r="F32" t="s">
        <v>226</v>
      </c>
      <c r="G32" t="s">
        <v>28</v>
      </c>
      <c r="H32" t="s">
        <v>227</v>
      </c>
      <c r="I32" t="s">
        <v>40</v>
      </c>
      <c r="J32">
        <v>40294513</v>
      </c>
      <c r="K32" t="s">
        <v>228</v>
      </c>
      <c r="L32" t="s">
        <v>42</v>
      </c>
      <c r="M32">
        <v>15.673</v>
      </c>
      <c r="N32">
        <v>3.19</v>
      </c>
      <c r="O32">
        <v>50</v>
      </c>
      <c r="P32" t="s">
        <v>43</v>
      </c>
      <c r="Q32" t="s">
        <v>229</v>
      </c>
      <c r="R32" s="3">
        <v>3.49</v>
      </c>
      <c r="S32" s="3">
        <v>3.34</v>
      </c>
      <c r="T32" s="3">
        <v>3.19</v>
      </c>
      <c r="U32" s="3">
        <v>0.15</v>
      </c>
      <c r="V32" s="3">
        <v>0.15</v>
      </c>
      <c r="W32" s="3">
        <f t="shared" si="0"/>
        <v>2.3509500000000001</v>
      </c>
    </row>
    <row r="33" spans="1:23">
      <c r="A33" t="s">
        <v>23</v>
      </c>
      <c r="B33" t="s">
        <v>230</v>
      </c>
      <c r="C33" t="s">
        <v>231</v>
      </c>
      <c r="D33" t="s">
        <v>232</v>
      </c>
      <c r="F33" t="s">
        <v>233</v>
      </c>
      <c r="G33" t="s">
        <v>28</v>
      </c>
      <c r="H33" t="s">
        <v>234</v>
      </c>
      <c r="I33" t="s">
        <v>74</v>
      </c>
      <c r="J33">
        <v>40282811</v>
      </c>
      <c r="K33" t="s">
        <v>235</v>
      </c>
      <c r="L33" t="s">
        <v>76</v>
      </c>
      <c r="M33">
        <v>15.68</v>
      </c>
      <c r="N33">
        <v>3.19</v>
      </c>
      <c r="O33">
        <v>50</v>
      </c>
      <c r="P33" t="s">
        <v>97</v>
      </c>
      <c r="Q33" t="s">
        <v>236</v>
      </c>
      <c r="R33" s="3">
        <v>3.49</v>
      </c>
      <c r="S33" s="3">
        <v>3.34</v>
      </c>
      <c r="T33" s="3">
        <v>3.19</v>
      </c>
      <c r="U33" s="3">
        <v>0.15</v>
      </c>
      <c r="V33" s="3">
        <v>0.15</v>
      </c>
      <c r="W33" s="3">
        <f t="shared" si="0"/>
        <v>2.3519999999999999</v>
      </c>
    </row>
    <row r="34" spans="1:23">
      <c r="A34" t="s">
        <v>23</v>
      </c>
      <c r="B34" t="s">
        <v>237</v>
      </c>
      <c r="C34" t="s">
        <v>25</v>
      </c>
      <c r="D34" t="s">
        <v>26</v>
      </c>
      <c r="F34" t="s">
        <v>238</v>
      </c>
      <c r="G34" t="s">
        <v>28</v>
      </c>
      <c r="H34" t="s">
        <v>239</v>
      </c>
      <c r="I34" t="s">
        <v>30</v>
      </c>
      <c r="J34">
        <v>40225737</v>
      </c>
      <c r="K34" t="s">
        <v>240</v>
      </c>
      <c r="L34" t="s">
        <v>32</v>
      </c>
      <c r="M34">
        <v>15.673</v>
      </c>
      <c r="N34">
        <v>3.19</v>
      </c>
      <c r="O34">
        <v>50</v>
      </c>
      <c r="P34" t="s">
        <v>43</v>
      </c>
      <c r="Q34" t="s">
        <v>241</v>
      </c>
      <c r="R34" s="3">
        <v>3.49</v>
      </c>
      <c r="S34" s="3">
        <v>3.34</v>
      </c>
      <c r="T34" s="3">
        <v>3.19</v>
      </c>
      <c r="U34" s="3">
        <v>0.15</v>
      </c>
      <c r="V34" s="3">
        <v>0.15</v>
      </c>
      <c r="W34" s="3">
        <f t="shared" si="0"/>
        <v>2.3509500000000001</v>
      </c>
    </row>
    <row r="35" spans="1:23">
      <c r="A35" t="s">
        <v>23</v>
      </c>
      <c r="B35" t="s">
        <v>242</v>
      </c>
      <c r="C35" t="s">
        <v>36</v>
      </c>
      <c r="D35" t="s">
        <v>37</v>
      </c>
      <c r="F35" t="s">
        <v>243</v>
      </c>
      <c r="G35" t="s">
        <v>28</v>
      </c>
      <c r="H35" t="s">
        <v>244</v>
      </c>
      <c r="I35" t="s">
        <v>40</v>
      </c>
      <c r="J35">
        <v>40211404</v>
      </c>
      <c r="K35" t="s">
        <v>245</v>
      </c>
      <c r="L35" t="s">
        <v>42</v>
      </c>
      <c r="M35">
        <v>12.539</v>
      </c>
      <c r="N35">
        <v>3.19</v>
      </c>
      <c r="O35">
        <v>40</v>
      </c>
      <c r="P35" t="s">
        <v>97</v>
      </c>
      <c r="Q35" t="s">
        <v>246</v>
      </c>
      <c r="R35" s="3">
        <v>3.49</v>
      </c>
      <c r="S35" s="3">
        <v>3.34</v>
      </c>
      <c r="T35" s="3">
        <v>3.19</v>
      </c>
      <c r="U35" s="3">
        <v>0.15</v>
      </c>
      <c r="V35" s="3">
        <v>0.15</v>
      </c>
      <c r="W35" s="3">
        <f t="shared" si="0"/>
        <v>1.8808499999999999</v>
      </c>
    </row>
    <row r="36" spans="1:23">
      <c r="A36" t="s">
        <v>23</v>
      </c>
      <c r="B36" t="s">
        <v>247</v>
      </c>
      <c r="C36" t="s">
        <v>248</v>
      </c>
      <c r="D36" t="s">
        <v>249</v>
      </c>
      <c r="F36" t="s">
        <v>250</v>
      </c>
      <c r="G36" t="s">
        <v>28</v>
      </c>
      <c r="H36" t="s">
        <v>251</v>
      </c>
      <c r="I36" t="s">
        <v>40</v>
      </c>
      <c r="J36">
        <v>40513603</v>
      </c>
      <c r="K36" t="s">
        <v>252</v>
      </c>
      <c r="L36" t="s">
        <v>165</v>
      </c>
      <c r="M36">
        <v>5.4160000000000004</v>
      </c>
      <c r="N36">
        <v>5.54</v>
      </c>
      <c r="O36">
        <v>30</v>
      </c>
      <c r="P36" t="s">
        <v>253</v>
      </c>
      <c r="Q36" t="s">
        <v>254</v>
      </c>
      <c r="R36" s="3">
        <v>5.79</v>
      </c>
      <c r="S36" s="3">
        <v>5.64</v>
      </c>
      <c r="T36" s="3">
        <v>5.54</v>
      </c>
      <c r="U36" s="3">
        <v>0.15</v>
      </c>
      <c r="V36" s="3">
        <v>0.1</v>
      </c>
      <c r="W36" s="3">
        <f t="shared" si="0"/>
        <v>0.54160000000000008</v>
      </c>
    </row>
    <row r="37" spans="1:23">
      <c r="A37" t="s">
        <v>255</v>
      </c>
      <c r="B37" t="s">
        <v>256</v>
      </c>
      <c r="C37" t="s">
        <v>248</v>
      </c>
      <c r="D37" t="s">
        <v>257</v>
      </c>
      <c r="E37" t="s">
        <v>258</v>
      </c>
      <c r="F37" t="s">
        <v>259</v>
      </c>
      <c r="G37" t="s">
        <v>28</v>
      </c>
      <c r="H37" t="s">
        <v>260</v>
      </c>
      <c r="I37" t="s">
        <v>40</v>
      </c>
      <c r="J37">
        <v>40170822</v>
      </c>
      <c r="K37" t="s">
        <v>261</v>
      </c>
      <c r="L37" t="s">
        <v>32</v>
      </c>
      <c r="M37">
        <v>5.734</v>
      </c>
      <c r="N37">
        <v>3.49</v>
      </c>
      <c r="O37">
        <v>20.010000000000002</v>
      </c>
      <c r="P37" t="s">
        <v>33</v>
      </c>
      <c r="Q37" t="s">
        <v>262</v>
      </c>
      <c r="R37" s="3">
        <v>3.49</v>
      </c>
      <c r="W37" s="3">
        <v>60</v>
      </c>
    </row>
    <row r="38" spans="1:23">
      <c r="A38" t="s">
        <v>23</v>
      </c>
      <c r="B38" t="s">
        <v>263</v>
      </c>
      <c r="C38" t="s">
        <v>264</v>
      </c>
      <c r="D38" t="s">
        <v>265</v>
      </c>
      <c r="F38" t="s">
        <v>266</v>
      </c>
      <c r="G38" t="s">
        <v>28</v>
      </c>
      <c r="H38" t="s">
        <v>267</v>
      </c>
      <c r="I38" t="s">
        <v>56</v>
      </c>
      <c r="J38">
        <v>40134148</v>
      </c>
      <c r="K38" t="s">
        <v>268</v>
      </c>
      <c r="L38" t="s">
        <v>58</v>
      </c>
      <c r="M38">
        <v>21.94</v>
      </c>
      <c r="N38">
        <v>3.19</v>
      </c>
      <c r="O38">
        <v>70</v>
      </c>
      <c r="P38" t="s">
        <v>97</v>
      </c>
      <c r="Q38" t="s">
        <v>269</v>
      </c>
      <c r="R38" s="3">
        <v>3.49</v>
      </c>
      <c r="S38" s="3">
        <v>3.34</v>
      </c>
      <c r="T38" s="3">
        <v>3.19</v>
      </c>
      <c r="U38" s="3">
        <v>0.15</v>
      </c>
      <c r="V38" s="3">
        <v>0.15</v>
      </c>
      <c r="W38" s="3">
        <f t="shared" si="0"/>
        <v>3.2909999999999999</v>
      </c>
    </row>
    <row r="39" spans="1:23">
      <c r="A39" t="s">
        <v>23</v>
      </c>
      <c r="B39" t="s">
        <v>270</v>
      </c>
      <c r="C39" t="s">
        <v>271</v>
      </c>
      <c r="D39" t="s">
        <v>272</v>
      </c>
      <c r="F39" t="s">
        <v>273</v>
      </c>
      <c r="G39" t="s">
        <v>28</v>
      </c>
      <c r="H39" t="s">
        <v>274</v>
      </c>
      <c r="I39" t="s">
        <v>101</v>
      </c>
      <c r="J39">
        <v>40086173</v>
      </c>
      <c r="K39" t="s">
        <v>275</v>
      </c>
      <c r="L39" t="s">
        <v>103</v>
      </c>
      <c r="M39">
        <v>18.91</v>
      </c>
      <c r="N39">
        <v>5.29</v>
      </c>
      <c r="O39">
        <v>100.03</v>
      </c>
      <c r="P39" t="s">
        <v>67</v>
      </c>
      <c r="Q39" t="s">
        <v>276</v>
      </c>
      <c r="R39" s="3">
        <v>5.59</v>
      </c>
      <c r="S39" s="3">
        <v>5.44</v>
      </c>
      <c r="T39" s="3">
        <v>5.29</v>
      </c>
      <c r="U39" s="3">
        <v>0.15</v>
      </c>
      <c r="V39" s="3">
        <v>0.15</v>
      </c>
      <c r="W39" s="3">
        <f t="shared" si="0"/>
        <v>2.8365</v>
      </c>
    </row>
    <row r="40" spans="1:23">
      <c r="A40" t="s">
        <v>23</v>
      </c>
      <c r="B40" t="s">
        <v>277</v>
      </c>
      <c r="C40" t="s">
        <v>36</v>
      </c>
      <c r="D40" t="s">
        <v>37</v>
      </c>
      <c r="F40" t="s">
        <v>278</v>
      </c>
      <c r="G40" t="s">
        <v>28</v>
      </c>
      <c r="H40" t="s">
        <v>279</v>
      </c>
      <c r="I40" t="s">
        <v>30</v>
      </c>
      <c r="J40">
        <v>40068253</v>
      </c>
      <c r="K40" t="s">
        <v>280</v>
      </c>
      <c r="L40" t="s">
        <v>32</v>
      </c>
      <c r="M40">
        <v>15.673</v>
      </c>
      <c r="N40">
        <v>3.19</v>
      </c>
      <c r="O40">
        <v>50</v>
      </c>
      <c r="P40" t="s">
        <v>92</v>
      </c>
      <c r="Q40" t="s">
        <v>278</v>
      </c>
      <c r="R40" s="3">
        <v>3.49</v>
      </c>
      <c r="S40" s="3">
        <v>3.34</v>
      </c>
      <c r="T40" s="3">
        <v>3.19</v>
      </c>
      <c r="U40" s="3">
        <v>0.15</v>
      </c>
      <c r="V40" s="3">
        <v>0.15</v>
      </c>
      <c r="W40" s="3">
        <f t="shared" si="0"/>
        <v>2.3509500000000001</v>
      </c>
    </row>
    <row r="41" spans="1:23">
      <c r="A41" t="s">
        <v>23</v>
      </c>
      <c r="B41" t="s">
        <v>281</v>
      </c>
      <c r="C41" t="s">
        <v>25</v>
      </c>
      <c r="D41" t="s">
        <v>26</v>
      </c>
      <c r="F41" t="s">
        <v>282</v>
      </c>
      <c r="G41" t="s">
        <v>28</v>
      </c>
      <c r="H41" t="s">
        <v>283</v>
      </c>
      <c r="I41" t="s">
        <v>30</v>
      </c>
      <c r="J41">
        <v>40059836</v>
      </c>
      <c r="K41" t="s">
        <v>284</v>
      </c>
      <c r="L41" t="s">
        <v>32</v>
      </c>
      <c r="M41">
        <v>6.2690000000000001</v>
      </c>
      <c r="N41">
        <v>3.19</v>
      </c>
      <c r="O41">
        <v>20</v>
      </c>
      <c r="P41" t="s">
        <v>97</v>
      </c>
      <c r="Q41" t="s">
        <v>285</v>
      </c>
      <c r="R41" s="3">
        <v>3.49</v>
      </c>
      <c r="S41" s="3">
        <v>3.34</v>
      </c>
      <c r="T41" s="3">
        <v>3.19</v>
      </c>
      <c r="U41" s="3">
        <v>0.15</v>
      </c>
      <c r="V41" s="3">
        <v>0.15</v>
      </c>
      <c r="W41" s="3">
        <f t="shared" si="0"/>
        <v>0.94035000000000002</v>
      </c>
    </row>
    <row r="42" spans="1:23">
      <c r="A42" t="s">
        <v>23</v>
      </c>
      <c r="B42" t="s">
        <v>281</v>
      </c>
      <c r="C42" t="s">
        <v>25</v>
      </c>
      <c r="D42" t="s">
        <v>26</v>
      </c>
      <c r="F42" t="s">
        <v>286</v>
      </c>
      <c r="G42" t="s">
        <v>28</v>
      </c>
      <c r="H42" t="s">
        <v>287</v>
      </c>
      <c r="I42" t="s">
        <v>30</v>
      </c>
      <c r="J42">
        <v>40033692</v>
      </c>
      <c r="K42" t="s">
        <v>288</v>
      </c>
      <c r="L42" t="s">
        <v>32</v>
      </c>
      <c r="M42">
        <v>15.673</v>
      </c>
      <c r="N42">
        <v>3.19</v>
      </c>
      <c r="O42">
        <v>50</v>
      </c>
      <c r="P42" t="s">
        <v>51</v>
      </c>
      <c r="Q42" t="s">
        <v>286</v>
      </c>
      <c r="R42" s="3">
        <v>3.49</v>
      </c>
      <c r="S42" s="3">
        <v>3.34</v>
      </c>
      <c r="T42" s="3">
        <v>3.19</v>
      </c>
      <c r="U42" s="3">
        <v>0.15</v>
      </c>
      <c r="V42" s="3">
        <v>0.15</v>
      </c>
      <c r="W42" s="3">
        <f t="shared" si="0"/>
        <v>2.3509500000000001</v>
      </c>
    </row>
    <row r="43" spans="1:23">
      <c r="A43" t="s">
        <v>23</v>
      </c>
      <c r="B43" t="s">
        <v>281</v>
      </c>
      <c r="C43" t="s">
        <v>25</v>
      </c>
      <c r="D43" t="s">
        <v>26</v>
      </c>
      <c r="F43" t="s">
        <v>289</v>
      </c>
      <c r="G43" t="s">
        <v>28</v>
      </c>
      <c r="H43" t="s">
        <v>290</v>
      </c>
      <c r="I43" t="s">
        <v>30</v>
      </c>
      <c r="J43">
        <v>40006654</v>
      </c>
      <c r="K43" t="s">
        <v>291</v>
      </c>
      <c r="L43" t="s">
        <v>32</v>
      </c>
      <c r="M43">
        <v>15.673</v>
      </c>
      <c r="N43">
        <v>3.19</v>
      </c>
      <c r="O43">
        <v>50</v>
      </c>
      <c r="P43" t="s">
        <v>59</v>
      </c>
      <c r="Q43" t="s">
        <v>292</v>
      </c>
      <c r="R43" s="3">
        <v>3.49</v>
      </c>
      <c r="S43" s="3">
        <v>3.34</v>
      </c>
      <c r="T43" s="3">
        <v>3.19</v>
      </c>
      <c r="U43" s="3">
        <v>0.15</v>
      </c>
      <c r="V43" s="3">
        <v>0.15</v>
      </c>
      <c r="W43" s="3">
        <f t="shared" si="0"/>
        <v>2.3509500000000001</v>
      </c>
    </row>
    <row r="44" spans="1:23">
      <c r="A44" t="s">
        <v>23</v>
      </c>
      <c r="B44" t="s">
        <v>293</v>
      </c>
      <c r="C44" t="s">
        <v>36</v>
      </c>
      <c r="D44" t="s">
        <v>37</v>
      </c>
      <c r="F44" t="s">
        <v>294</v>
      </c>
      <c r="G44" t="s">
        <v>28</v>
      </c>
      <c r="H44" t="s">
        <v>295</v>
      </c>
      <c r="I44" t="s">
        <v>40</v>
      </c>
      <c r="J44">
        <v>39993245</v>
      </c>
      <c r="K44" t="s">
        <v>296</v>
      </c>
      <c r="L44" t="s">
        <v>42</v>
      </c>
      <c r="M44">
        <v>15.673</v>
      </c>
      <c r="N44">
        <v>3.19</v>
      </c>
      <c r="O44">
        <v>50</v>
      </c>
      <c r="P44" t="s">
        <v>33</v>
      </c>
      <c r="Q44" t="s">
        <v>297</v>
      </c>
      <c r="R44" s="3">
        <v>3.49</v>
      </c>
      <c r="S44" s="3">
        <v>3.34</v>
      </c>
      <c r="T44" s="3">
        <v>3.19</v>
      </c>
      <c r="U44" s="3">
        <v>0.15</v>
      </c>
      <c r="V44" s="3">
        <v>0.15</v>
      </c>
      <c r="W44" s="3">
        <f t="shared" si="0"/>
        <v>2.3509500000000001</v>
      </c>
    </row>
    <row r="45" spans="1:23">
      <c r="A45" t="s">
        <v>23</v>
      </c>
      <c r="B45" t="s">
        <v>298</v>
      </c>
      <c r="C45" t="s">
        <v>299</v>
      </c>
      <c r="D45" t="s">
        <v>300</v>
      </c>
      <c r="F45" t="s">
        <v>301</v>
      </c>
      <c r="G45" t="s">
        <v>28</v>
      </c>
      <c r="H45" t="s">
        <v>302</v>
      </c>
      <c r="I45" t="s">
        <v>303</v>
      </c>
      <c r="J45">
        <v>39984746</v>
      </c>
      <c r="K45" t="s">
        <v>304</v>
      </c>
      <c r="L45" t="s">
        <v>305</v>
      </c>
      <c r="M45">
        <v>2.169</v>
      </c>
      <c r="N45">
        <v>5.29</v>
      </c>
      <c r="O45">
        <v>11.47</v>
      </c>
      <c r="P45" t="s">
        <v>59</v>
      </c>
      <c r="Q45" t="s">
        <v>301</v>
      </c>
      <c r="R45" s="3">
        <v>5.59</v>
      </c>
      <c r="S45" s="3">
        <v>5.44</v>
      </c>
      <c r="T45" s="3">
        <v>5.29</v>
      </c>
      <c r="U45" s="3">
        <v>0.15</v>
      </c>
      <c r="V45" s="3">
        <v>0.15</v>
      </c>
      <c r="W45" s="3">
        <f t="shared" si="0"/>
        <v>0.32534999999999997</v>
      </c>
    </row>
    <row r="46" spans="1:23">
      <c r="A46" t="s">
        <v>23</v>
      </c>
      <c r="B46" t="s">
        <v>306</v>
      </c>
      <c r="C46" t="s">
        <v>307</v>
      </c>
      <c r="D46" t="s">
        <v>308</v>
      </c>
      <c r="F46" t="s">
        <v>309</v>
      </c>
      <c r="G46" t="s">
        <v>28</v>
      </c>
      <c r="H46" t="s">
        <v>310</v>
      </c>
      <c r="I46" t="s">
        <v>56</v>
      </c>
      <c r="J46">
        <v>39937914</v>
      </c>
      <c r="K46" t="s">
        <v>311</v>
      </c>
      <c r="L46" t="s">
        <v>58</v>
      </c>
      <c r="M46">
        <v>20</v>
      </c>
      <c r="N46">
        <v>3.19</v>
      </c>
      <c r="O46">
        <v>63.8</v>
      </c>
      <c r="P46" t="s">
        <v>59</v>
      </c>
      <c r="Q46" t="s">
        <v>312</v>
      </c>
      <c r="R46" s="3">
        <v>3.49</v>
      </c>
      <c r="S46" s="3">
        <v>3.34</v>
      </c>
      <c r="T46" s="3">
        <v>3.19</v>
      </c>
      <c r="U46" s="3">
        <v>0.15</v>
      </c>
      <c r="V46" s="3">
        <v>0.15</v>
      </c>
      <c r="W46" s="3">
        <f t="shared" si="0"/>
        <v>3</v>
      </c>
    </row>
    <row r="47" spans="1:23">
      <c r="A47" t="s">
        <v>23</v>
      </c>
      <c r="B47" t="s">
        <v>313</v>
      </c>
      <c r="C47" t="s">
        <v>36</v>
      </c>
      <c r="D47" t="s">
        <v>37</v>
      </c>
      <c r="F47" t="s">
        <v>314</v>
      </c>
      <c r="G47" t="s">
        <v>28</v>
      </c>
      <c r="H47" t="s">
        <v>315</v>
      </c>
      <c r="I47" t="s">
        <v>30</v>
      </c>
      <c r="J47">
        <v>39930049</v>
      </c>
      <c r="K47" t="s">
        <v>316</v>
      </c>
      <c r="L47" t="s">
        <v>32</v>
      </c>
      <c r="M47">
        <v>15.673</v>
      </c>
      <c r="N47">
        <v>3.19</v>
      </c>
      <c r="O47">
        <v>50</v>
      </c>
      <c r="P47" t="s">
        <v>33</v>
      </c>
      <c r="Q47" t="s">
        <v>317</v>
      </c>
      <c r="R47" s="3">
        <v>3.49</v>
      </c>
      <c r="S47" s="3">
        <v>3.34</v>
      </c>
      <c r="T47" s="3">
        <v>3.19</v>
      </c>
      <c r="U47" s="3">
        <v>0.15</v>
      </c>
      <c r="V47" s="3">
        <v>0.15</v>
      </c>
      <c r="W47" s="3">
        <f t="shared" si="0"/>
        <v>2.3509500000000001</v>
      </c>
    </row>
    <row r="48" spans="1:23">
      <c r="A48" t="s">
        <v>23</v>
      </c>
      <c r="B48" t="s">
        <v>318</v>
      </c>
      <c r="C48" t="s">
        <v>319</v>
      </c>
      <c r="D48" t="s">
        <v>320</v>
      </c>
      <c r="F48" t="s">
        <v>321</v>
      </c>
      <c r="G48" t="s">
        <v>28</v>
      </c>
      <c r="H48" t="s">
        <v>322</v>
      </c>
      <c r="I48" t="s">
        <v>40</v>
      </c>
      <c r="J48">
        <v>39889229</v>
      </c>
      <c r="K48" t="s">
        <v>323</v>
      </c>
      <c r="L48" t="s">
        <v>42</v>
      </c>
      <c r="M48">
        <v>31.347000000000001</v>
      </c>
      <c r="N48">
        <v>3.19</v>
      </c>
      <c r="O48">
        <v>100</v>
      </c>
      <c r="P48" t="s">
        <v>87</v>
      </c>
      <c r="Q48" t="s">
        <v>324</v>
      </c>
      <c r="R48" s="3">
        <v>3.49</v>
      </c>
      <c r="S48" s="3">
        <v>3.34</v>
      </c>
      <c r="T48" s="3">
        <v>3.19</v>
      </c>
      <c r="U48" s="3">
        <v>0.15</v>
      </c>
      <c r="V48" s="3">
        <v>0.15</v>
      </c>
      <c r="W48" s="3">
        <f t="shared" si="0"/>
        <v>4.7020499999999998</v>
      </c>
    </row>
    <row r="49" spans="1:23">
      <c r="A49" t="s">
        <v>23</v>
      </c>
      <c r="B49" t="s">
        <v>318</v>
      </c>
      <c r="C49" t="s">
        <v>319</v>
      </c>
      <c r="D49" t="s">
        <v>320</v>
      </c>
      <c r="F49" t="s">
        <v>325</v>
      </c>
      <c r="G49" t="s">
        <v>28</v>
      </c>
      <c r="H49" t="s">
        <v>326</v>
      </c>
      <c r="I49" t="s">
        <v>40</v>
      </c>
      <c r="J49">
        <v>40613500</v>
      </c>
      <c r="K49" t="s">
        <v>327</v>
      </c>
      <c r="L49" t="s">
        <v>215</v>
      </c>
      <c r="M49">
        <v>23.137</v>
      </c>
      <c r="N49">
        <v>3.89</v>
      </c>
      <c r="O49">
        <v>90</v>
      </c>
      <c r="P49" t="s">
        <v>328</v>
      </c>
      <c r="Q49" t="s">
        <v>329</v>
      </c>
      <c r="R49" s="3">
        <v>4.1900000000000004</v>
      </c>
      <c r="S49" s="3">
        <v>4.04</v>
      </c>
      <c r="T49" s="3">
        <v>3.89</v>
      </c>
      <c r="U49" s="3">
        <v>0.15</v>
      </c>
      <c r="V49" s="3">
        <v>0.15</v>
      </c>
      <c r="W49" s="3">
        <f t="shared" si="0"/>
        <v>3.4705499999999998</v>
      </c>
    </row>
    <row r="50" spans="1:23">
      <c r="A50" t="s">
        <v>330</v>
      </c>
      <c r="B50" t="s">
        <v>331</v>
      </c>
      <c r="C50" t="s">
        <v>332</v>
      </c>
      <c r="D50" t="s">
        <v>333</v>
      </c>
      <c r="E50" t="s">
        <v>334</v>
      </c>
      <c r="F50" t="s">
        <v>335</v>
      </c>
      <c r="G50" t="s">
        <v>28</v>
      </c>
      <c r="H50" t="s">
        <v>336</v>
      </c>
      <c r="I50" t="s">
        <v>303</v>
      </c>
      <c r="W50" s="3">
        <f t="shared" si="0"/>
        <v>0</v>
      </c>
    </row>
    <row r="51" spans="1:23">
      <c r="A51" t="s">
        <v>23</v>
      </c>
      <c r="B51" t="s">
        <v>337</v>
      </c>
      <c r="C51" t="s">
        <v>338</v>
      </c>
      <c r="D51" t="s">
        <v>133</v>
      </c>
      <c r="F51" t="s">
        <v>339</v>
      </c>
      <c r="G51" t="s">
        <v>28</v>
      </c>
      <c r="H51" t="s">
        <v>340</v>
      </c>
      <c r="I51" t="s">
        <v>30</v>
      </c>
      <c r="W51" s="3">
        <f t="shared" si="0"/>
        <v>0</v>
      </c>
    </row>
    <row r="52" spans="1:23">
      <c r="A52" t="s">
        <v>23</v>
      </c>
      <c r="B52" t="s">
        <v>341</v>
      </c>
      <c r="C52" t="s">
        <v>342</v>
      </c>
      <c r="D52" t="s">
        <v>343</v>
      </c>
      <c r="F52" t="s">
        <v>344</v>
      </c>
      <c r="G52" t="s">
        <v>28</v>
      </c>
      <c r="H52" t="s">
        <v>345</v>
      </c>
      <c r="I52" t="s">
        <v>303</v>
      </c>
      <c r="J52">
        <v>40740564</v>
      </c>
      <c r="K52" t="s">
        <v>346</v>
      </c>
      <c r="L52" t="s">
        <v>347</v>
      </c>
      <c r="M52">
        <v>25.707000000000001</v>
      </c>
      <c r="N52">
        <v>3.89</v>
      </c>
      <c r="O52">
        <v>100</v>
      </c>
      <c r="P52" t="s">
        <v>348</v>
      </c>
      <c r="Q52" t="s">
        <v>349</v>
      </c>
      <c r="R52" s="3">
        <v>4.1900000000000004</v>
      </c>
      <c r="S52" s="3">
        <v>4.04</v>
      </c>
      <c r="T52" s="3">
        <v>3.89</v>
      </c>
      <c r="U52" s="3">
        <v>0.15</v>
      </c>
      <c r="V52" s="3">
        <v>0.15</v>
      </c>
      <c r="W52" s="3">
        <f t="shared" si="0"/>
        <v>3.8560499999999998</v>
      </c>
    </row>
    <row r="53" spans="1:23">
      <c r="A53" t="s">
        <v>23</v>
      </c>
      <c r="B53" t="s">
        <v>350</v>
      </c>
      <c r="C53" t="s">
        <v>351</v>
      </c>
      <c r="D53" t="s">
        <v>26</v>
      </c>
      <c r="F53" t="s">
        <v>352</v>
      </c>
      <c r="G53" t="s">
        <v>28</v>
      </c>
      <c r="H53" t="s">
        <v>353</v>
      </c>
      <c r="I53" t="s">
        <v>40</v>
      </c>
      <c r="W53" s="3">
        <f t="shared" si="0"/>
        <v>0</v>
      </c>
    </row>
    <row r="54" spans="1:23">
      <c r="A54" t="s">
        <v>23</v>
      </c>
      <c r="B54" t="s">
        <v>350</v>
      </c>
      <c r="C54" t="s">
        <v>351</v>
      </c>
      <c r="D54" t="s">
        <v>26</v>
      </c>
      <c r="F54" t="s">
        <v>354</v>
      </c>
      <c r="G54" t="s">
        <v>28</v>
      </c>
      <c r="H54" t="s">
        <v>355</v>
      </c>
      <c r="I54" t="s">
        <v>74</v>
      </c>
      <c r="W54" s="3">
        <f t="shared" si="0"/>
        <v>0</v>
      </c>
    </row>
    <row r="55" spans="1:23">
      <c r="A55" t="s">
        <v>23</v>
      </c>
      <c r="B55" t="s">
        <v>356</v>
      </c>
      <c r="C55" t="s">
        <v>357</v>
      </c>
      <c r="D55" t="s">
        <v>358</v>
      </c>
      <c r="F55" t="s">
        <v>359</v>
      </c>
      <c r="G55" t="s">
        <v>28</v>
      </c>
      <c r="H55" t="s">
        <v>360</v>
      </c>
      <c r="I55" t="s">
        <v>74</v>
      </c>
      <c r="W55" s="3">
        <f t="shared" si="0"/>
        <v>0</v>
      </c>
    </row>
    <row r="56" spans="1:23">
      <c r="A56" t="s">
        <v>23</v>
      </c>
      <c r="B56" t="s">
        <v>356</v>
      </c>
      <c r="C56" t="s">
        <v>357</v>
      </c>
      <c r="D56" t="s">
        <v>358</v>
      </c>
      <c r="F56" t="s">
        <v>361</v>
      </c>
      <c r="G56" t="s">
        <v>28</v>
      </c>
      <c r="H56" t="s">
        <v>362</v>
      </c>
      <c r="I56" t="s">
        <v>40</v>
      </c>
      <c r="W56" s="3">
        <f t="shared" si="0"/>
        <v>0</v>
      </c>
    </row>
    <row r="57" spans="1:23">
      <c r="A57" t="s">
        <v>23</v>
      </c>
      <c r="B57" t="s">
        <v>356</v>
      </c>
      <c r="C57" t="s">
        <v>357</v>
      </c>
      <c r="D57" t="s">
        <v>358</v>
      </c>
      <c r="F57" t="s">
        <v>363</v>
      </c>
      <c r="G57" t="s">
        <v>28</v>
      </c>
      <c r="H57" t="s">
        <v>364</v>
      </c>
      <c r="I57" t="s">
        <v>74</v>
      </c>
      <c r="J57">
        <v>40747463</v>
      </c>
      <c r="K57" t="s">
        <v>365</v>
      </c>
      <c r="L57" t="s">
        <v>165</v>
      </c>
      <c r="M57">
        <v>29.741</v>
      </c>
      <c r="N57">
        <v>6.09</v>
      </c>
      <c r="O57">
        <v>181.12</v>
      </c>
      <c r="P57" t="s">
        <v>366</v>
      </c>
      <c r="Q57" t="s">
        <v>367</v>
      </c>
      <c r="R57" s="3">
        <v>5.79</v>
      </c>
      <c r="S57" s="3">
        <v>5.64</v>
      </c>
      <c r="T57" s="3">
        <v>5.49</v>
      </c>
      <c r="U57" s="3">
        <v>0.15</v>
      </c>
      <c r="V57" s="3">
        <v>0.15</v>
      </c>
      <c r="W57" s="3">
        <f t="shared" si="0"/>
        <v>4.4611499999999999</v>
      </c>
    </row>
    <row r="58" spans="1:23">
      <c r="A58" t="s">
        <v>23</v>
      </c>
      <c r="B58" t="s">
        <v>368</v>
      </c>
      <c r="C58" t="s">
        <v>369</v>
      </c>
      <c r="D58" t="s">
        <v>370</v>
      </c>
      <c r="F58" t="s">
        <v>371</v>
      </c>
      <c r="G58" t="s">
        <v>28</v>
      </c>
      <c r="H58" t="s">
        <v>372</v>
      </c>
      <c r="I58" t="s">
        <v>30</v>
      </c>
      <c r="W58" s="3">
        <f t="shared" si="0"/>
        <v>0</v>
      </c>
    </row>
    <row r="59" spans="1:23">
      <c r="A59" t="s">
        <v>23</v>
      </c>
      <c r="B59" t="s">
        <v>368</v>
      </c>
      <c r="C59" t="s">
        <v>369</v>
      </c>
      <c r="D59" t="s">
        <v>370</v>
      </c>
      <c r="F59" t="s">
        <v>373</v>
      </c>
      <c r="G59" t="s">
        <v>28</v>
      </c>
      <c r="H59" t="s">
        <v>374</v>
      </c>
      <c r="I59" t="s">
        <v>30</v>
      </c>
      <c r="J59">
        <v>40747935</v>
      </c>
      <c r="K59" t="s">
        <v>375</v>
      </c>
      <c r="L59" t="s">
        <v>376</v>
      </c>
      <c r="M59">
        <v>3.4550000000000001</v>
      </c>
      <c r="N59">
        <v>5.79</v>
      </c>
      <c r="O59">
        <v>20</v>
      </c>
      <c r="P59" t="s">
        <v>366</v>
      </c>
      <c r="Q59" t="s">
        <v>377</v>
      </c>
      <c r="R59" s="3">
        <v>5.79</v>
      </c>
      <c r="S59" s="3">
        <v>5.64</v>
      </c>
      <c r="T59" s="3">
        <v>5.49</v>
      </c>
      <c r="U59" s="3">
        <v>0.15</v>
      </c>
      <c r="V59" s="3">
        <v>0.15</v>
      </c>
      <c r="W59" s="3">
        <f t="shared" si="0"/>
        <v>0.51824999999999999</v>
      </c>
    </row>
    <row r="60" spans="1:23">
      <c r="A60" t="s">
        <v>23</v>
      </c>
      <c r="B60" t="s">
        <v>378</v>
      </c>
      <c r="C60" t="s">
        <v>379</v>
      </c>
      <c r="D60" t="s">
        <v>380</v>
      </c>
      <c r="F60" t="s">
        <v>381</v>
      </c>
      <c r="G60" t="s">
        <v>28</v>
      </c>
      <c r="H60" t="s">
        <v>382</v>
      </c>
      <c r="I60" t="s">
        <v>383</v>
      </c>
      <c r="J60">
        <v>40748986</v>
      </c>
      <c r="K60" t="s">
        <v>384</v>
      </c>
      <c r="L60" t="s">
        <v>215</v>
      </c>
      <c r="M60">
        <v>7.16</v>
      </c>
      <c r="N60">
        <v>4.1900000000000004</v>
      </c>
      <c r="O60">
        <v>30</v>
      </c>
      <c r="P60" t="s">
        <v>385</v>
      </c>
      <c r="Q60" t="s">
        <v>386</v>
      </c>
      <c r="R60" s="3">
        <v>4.1900000000000004</v>
      </c>
      <c r="S60" s="3">
        <v>4.04</v>
      </c>
      <c r="T60" s="3">
        <v>3.89</v>
      </c>
      <c r="U60" s="3">
        <v>0.15</v>
      </c>
      <c r="V60" s="3">
        <v>0.15</v>
      </c>
      <c r="W60" s="3">
        <f t="shared" si="0"/>
        <v>1.0740000000000001</v>
      </c>
    </row>
    <row r="61" spans="1:23">
      <c r="A61" t="s">
        <v>23</v>
      </c>
      <c r="B61" t="s">
        <v>387</v>
      </c>
      <c r="C61" t="s">
        <v>36</v>
      </c>
      <c r="D61" t="s">
        <v>37</v>
      </c>
      <c r="F61" t="s">
        <v>388</v>
      </c>
      <c r="G61" t="s">
        <v>28</v>
      </c>
      <c r="H61" t="s">
        <v>389</v>
      </c>
      <c r="I61" t="s">
        <v>30</v>
      </c>
      <c r="W61" s="3">
        <f t="shared" si="0"/>
        <v>0</v>
      </c>
    </row>
    <row r="62" spans="1:23">
      <c r="A62" t="s">
        <v>23</v>
      </c>
      <c r="B62" t="s">
        <v>387</v>
      </c>
      <c r="C62" t="s">
        <v>36</v>
      </c>
      <c r="D62" t="s">
        <v>37</v>
      </c>
      <c r="F62" t="s">
        <v>390</v>
      </c>
      <c r="G62" t="s">
        <v>28</v>
      </c>
      <c r="H62" t="s">
        <v>391</v>
      </c>
      <c r="I62" t="s">
        <v>30</v>
      </c>
      <c r="J62">
        <v>40749204</v>
      </c>
      <c r="K62" t="s">
        <v>392</v>
      </c>
      <c r="L62" t="s">
        <v>376</v>
      </c>
      <c r="M62">
        <v>0.86399999999999999</v>
      </c>
      <c r="N62">
        <v>5.79</v>
      </c>
      <c r="O62">
        <v>5</v>
      </c>
      <c r="P62" t="s">
        <v>366</v>
      </c>
      <c r="Q62" t="s">
        <v>393</v>
      </c>
      <c r="R62" s="3">
        <v>5.79</v>
      </c>
      <c r="S62" s="3">
        <v>5.64</v>
      </c>
      <c r="T62" s="3">
        <v>5.49</v>
      </c>
      <c r="U62" s="3">
        <v>0.15</v>
      </c>
      <c r="V62" s="3">
        <v>0.15</v>
      </c>
      <c r="W62" s="3">
        <f t="shared" si="0"/>
        <v>0.12959999999999999</v>
      </c>
    </row>
    <row r="63" spans="1:23">
      <c r="A63" t="s">
        <v>23</v>
      </c>
      <c r="B63" t="s">
        <v>394</v>
      </c>
      <c r="C63" t="s">
        <v>351</v>
      </c>
      <c r="D63" t="s">
        <v>26</v>
      </c>
      <c r="F63" t="s">
        <v>395</v>
      </c>
      <c r="G63" t="s">
        <v>28</v>
      </c>
      <c r="H63" t="s">
        <v>396</v>
      </c>
      <c r="I63" t="s">
        <v>40</v>
      </c>
      <c r="J63">
        <v>40749462</v>
      </c>
      <c r="K63" t="s">
        <v>397</v>
      </c>
      <c r="L63" t="s">
        <v>215</v>
      </c>
      <c r="M63">
        <v>5.9669999999999996</v>
      </c>
      <c r="N63">
        <v>4.1900000000000004</v>
      </c>
      <c r="O63">
        <v>25</v>
      </c>
      <c r="P63" t="s">
        <v>385</v>
      </c>
      <c r="Q63" t="s">
        <v>398</v>
      </c>
      <c r="R63" s="3">
        <v>4.1900000000000004</v>
      </c>
      <c r="S63" s="3">
        <v>4.04</v>
      </c>
      <c r="T63" s="3">
        <v>3.89</v>
      </c>
      <c r="U63" s="3">
        <v>0.15</v>
      </c>
      <c r="V63" s="3">
        <v>0.15</v>
      </c>
      <c r="W63" s="3">
        <f t="shared" si="0"/>
        <v>0.8950499999999999</v>
      </c>
    </row>
    <row r="64" spans="1:23">
      <c r="A64" t="s">
        <v>23</v>
      </c>
      <c r="B64" t="s">
        <v>399</v>
      </c>
      <c r="C64" t="s">
        <v>400</v>
      </c>
      <c r="D64" t="s">
        <v>401</v>
      </c>
      <c r="F64" t="s">
        <v>402</v>
      </c>
      <c r="G64" t="s">
        <v>28</v>
      </c>
      <c r="H64" t="s">
        <v>403</v>
      </c>
      <c r="I64" t="s">
        <v>74</v>
      </c>
      <c r="J64">
        <v>39334510</v>
      </c>
      <c r="K64" t="s">
        <v>404</v>
      </c>
      <c r="L64" t="s">
        <v>76</v>
      </c>
      <c r="M64">
        <v>20.38</v>
      </c>
      <c r="N64">
        <v>3.19</v>
      </c>
      <c r="O64">
        <v>65.010000000000005</v>
      </c>
      <c r="P64" t="s">
        <v>87</v>
      </c>
      <c r="Q64" t="s">
        <v>405</v>
      </c>
      <c r="R64" s="3">
        <v>3.49</v>
      </c>
      <c r="S64" s="3">
        <v>3.34</v>
      </c>
      <c r="T64" s="3">
        <v>3.19</v>
      </c>
      <c r="U64" s="3">
        <v>0.15</v>
      </c>
      <c r="V64" s="3">
        <v>0.15</v>
      </c>
      <c r="W64" s="3">
        <f t="shared" si="0"/>
        <v>3.0569999999999999</v>
      </c>
    </row>
    <row r="65" spans="1:23">
      <c r="A65" t="s">
        <v>23</v>
      </c>
      <c r="B65" t="s">
        <v>406</v>
      </c>
      <c r="C65" t="s">
        <v>369</v>
      </c>
      <c r="D65" t="s">
        <v>370</v>
      </c>
      <c r="F65" t="s">
        <v>407</v>
      </c>
      <c r="G65" t="s">
        <v>28</v>
      </c>
      <c r="H65" t="s">
        <v>408</v>
      </c>
      <c r="I65" t="s">
        <v>40</v>
      </c>
      <c r="J65">
        <v>39306792</v>
      </c>
      <c r="K65" t="s">
        <v>409</v>
      </c>
      <c r="L65" t="s">
        <v>42</v>
      </c>
      <c r="M65">
        <v>42.338999999999999</v>
      </c>
      <c r="N65">
        <v>3.19</v>
      </c>
      <c r="O65">
        <v>135.06</v>
      </c>
      <c r="P65" t="s">
        <v>33</v>
      </c>
      <c r="Q65" t="s">
        <v>410</v>
      </c>
      <c r="R65" s="3">
        <v>3.49</v>
      </c>
      <c r="S65" s="3">
        <v>3.34</v>
      </c>
      <c r="T65" s="3">
        <v>3.19</v>
      </c>
      <c r="U65" s="3">
        <v>0.15</v>
      </c>
      <c r="V65" s="3">
        <v>0.15</v>
      </c>
      <c r="W65" s="3">
        <f t="shared" si="0"/>
        <v>6.3508499999999994</v>
      </c>
    </row>
    <row r="66" spans="1:23">
      <c r="A66" t="s">
        <v>23</v>
      </c>
      <c r="B66" t="s">
        <v>411</v>
      </c>
      <c r="C66" t="s">
        <v>299</v>
      </c>
      <c r="D66" t="s">
        <v>300</v>
      </c>
      <c r="F66" t="s">
        <v>412</v>
      </c>
      <c r="G66" t="s">
        <v>28</v>
      </c>
      <c r="H66" t="s">
        <v>413</v>
      </c>
      <c r="I66" t="s">
        <v>30</v>
      </c>
      <c r="J66">
        <v>39306686</v>
      </c>
      <c r="K66" t="s">
        <v>414</v>
      </c>
      <c r="L66" t="s">
        <v>32</v>
      </c>
      <c r="M66">
        <v>20.004000000000001</v>
      </c>
      <c r="N66">
        <v>3.19</v>
      </c>
      <c r="O66">
        <v>63.81</v>
      </c>
      <c r="P66" t="s">
        <v>33</v>
      </c>
      <c r="Q66" t="s">
        <v>407</v>
      </c>
      <c r="R66" s="3">
        <v>3.49</v>
      </c>
      <c r="S66" s="3">
        <v>3.34</v>
      </c>
      <c r="T66" s="3">
        <v>3.19</v>
      </c>
      <c r="U66" s="3">
        <v>0.15</v>
      </c>
      <c r="V66" s="3">
        <v>0.15</v>
      </c>
      <c r="W66" s="3">
        <f t="shared" si="0"/>
        <v>3.0005999999999999</v>
      </c>
    </row>
    <row r="67" spans="1:23">
      <c r="A67" t="s">
        <v>23</v>
      </c>
      <c r="B67" t="s">
        <v>411</v>
      </c>
      <c r="C67" t="s">
        <v>299</v>
      </c>
      <c r="D67" t="s">
        <v>300</v>
      </c>
      <c r="F67" t="s">
        <v>415</v>
      </c>
      <c r="G67" t="s">
        <v>28</v>
      </c>
      <c r="H67" t="s">
        <v>416</v>
      </c>
      <c r="I67" t="s">
        <v>30</v>
      </c>
      <c r="J67">
        <v>40765337</v>
      </c>
      <c r="K67" t="s">
        <v>417</v>
      </c>
      <c r="L67" t="s">
        <v>347</v>
      </c>
      <c r="M67">
        <v>12.853999999999999</v>
      </c>
      <c r="N67">
        <v>3.89</v>
      </c>
      <c r="O67">
        <v>50</v>
      </c>
      <c r="P67" t="s">
        <v>216</v>
      </c>
      <c r="Q67" t="s">
        <v>418</v>
      </c>
      <c r="R67" s="3">
        <v>4.1900000000000004</v>
      </c>
      <c r="S67" s="3">
        <v>4.04</v>
      </c>
      <c r="T67" s="3">
        <v>3.89</v>
      </c>
      <c r="U67" s="3">
        <v>0.15</v>
      </c>
      <c r="V67" s="3">
        <v>0.15</v>
      </c>
      <c r="W67" s="3">
        <f t="shared" ref="W67" si="1">V67*M67</f>
        <v>1.9280999999999997</v>
      </c>
    </row>
  </sheetData>
  <autoFilter ref="A1:W6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Posto</dc:creator>
  <cp:keywords/>
  <dc:description/>
  <cp:lastModifiedBy/>
  <cp:revision/>
  <dcterms:created xsi:type="dcterms:W3CDTF">2023-11-22T12:22:17Z</dcterms:created>
  <dcterms:modified xsi:type="dcterms:W3CDTF">2023-11-22T17:49:07Z</dcterms:modified>
  <cp:category/>
  <cp:contentStatus/>
</cp:coreProperties>
</file>